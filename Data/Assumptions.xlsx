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es\DCF Valuation - Walton Hi-Tech\"/>
    </mc:Choice>
  </mc:AlternateContent>
  <xr:revisionPtr revIDLastSave="0" documentId="13_ncr:1_{B5E3D56E-A73C-4C44-AB74-A6FD5B6A60A5}" xr6:coauthVersionLast="47" xr6:coauthVersionMax="47" xr10:uidLastSave="{00000000-0000-0000-0000-000000000000}"/>
  <bookViews>
    <workbookView xWindow="-110" yWindow="-110" windowWidth="19420" windowHeight="10300" xr2:uid="{7382F0F0-A493-47B8-BF77-42CCE42FC829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  <c r="D54" i="1" s="1"/>
  <c r="J26" i="1"/>
  <c r="K26" i="1" s="1"/>
  <c r="L26" i="1" s="1"/>
  <c r="M26" i="1" s="1"/>
  <c r="H26" i="1"/>
  <c r="I26" i="1" s="1"/>
  <c r="G26" i="1"/>
  <c r="F26" i="1"/>
  <c r="E26" i="1"/>
  <c r="D26" i="1"/>
  <c r="D19" i="1"/>
  <c r="E18" i="1"/>
  <c r="K32" i="1" l="1"/>
  <c r="G32" i="1"/>
  <c r="M32" i="1"/>
  <c r="E32" i="1"/>
  <c r="J32" i="1"/>
  <c r="F32" i="1"/>
  <c r="I32" i="1"/>
  <c r="L32" i="1"/>
  <c r="H32" i="1"/>
  <c r="D32" i="1"/>
</calcChain>
</file>

<file path=xl/sharedStrings.xml><?xml version="1.0" encoding="utf-8"?>
<sst xmlns="http://schemas.openxmlformats.org/spreadsheetml/2006/main" count="82" uniqueCount="77">
  <si>
    <t>Assumptions:</t>
  </si>
  <si>
    <t>Justification for DCF Model</t>
  </si>
  <si>
    <t>1. REVENUE DRIVERS</t>
  </si>
  <si>
    <t>Freezer, Refrigerator &amp; Compressor</t>
  </si>
  <si>
    <t>Moderate growth as mature market, 65–75% market share, low incremental volume growth &amp; margin pressure due to VAT (7.5%)</t>
  </si>
  <si>
    <t>Air Conditioner</t>
  </si>
  <si>
    <t xml:space="preserve">Moderate but volatile growth as high sensitivity to economic cycles, climate change so long-term positive, VAT on AC </t>
  </si>
  <si>
    <t>Television</t>
  </si>
  <si>
    <t>Low growth as TV market shifting to imported premium brands (Samsung, LG), local players losing share &amp; cost pressures from display imports</t>
  </si>
  <si>
    <t>Electrical Appliances (EAP)</t>
  </si>
  <si>
    <t>High growth as fast-growing segment &amp; long-term growth still strong (middle-class growth)</t>
  </si>
  <si>
    <t>Home Appliances (HAP)</t>
  </si>
  <si>
    <t>Moderate growth as demand driven by middle class expansion</t>
  </si>
  <si>
    <t>Elevator</t>
  </si>
  <si>
    <t>Steady growth as long-term opportunity &amp; dependent on construction sector (currently weak)</t>
  </si>
  <si>
    <t>Cable</t>
  </si>
  <si>
    <t>Steady growth as new factory integration and domestic substitution for imports</t>
  </si>
  <si>
    <t>Service Parts</t>
  </si>
  <si>
    <t>High sustainable growth as product installed base increasing &amp; recurring, stable revenue source</t>
  </si>
  <si>
    <t>Others (Mold, Die, SBN)</t>
  </si>
  <si>
    <t>Moderate growth as B2B component sales</t>
  </si>
  <si>
    <t>WDIL IT Products</t>
  </si>
  <si>
    <t>Strong growth as strong IT portfolio, Bangladesh IT demand rising &amp; synergies with Walton distribution</t>
  </si>
  <si>
    <t>Lithium Battery</t>
  </si>
  <si>
    <t>High growth and then stabilizes in the long-term</t>
  </si>
  <si>
    <t>VAT Rate</t>
  </si>
  <si>
    <t>Kept constant per regulatory baseline</t>
  </si>
  <si>
    <t>WDIL IT Products Revenue</t>
  </si>
  <si>
    <t>Post-acquision revenue (Digi-Tech's revenue tk 1015.91 cr during 2024)</t>
  </si>
  <si>
    <t>Lithium Battery Revenue</t>
  </si>
  <si>
    <t>80,000 units at a industry average price of tk. 8000 (estimated)</t>
  </si>
  <si>
    <t>2. PROFITABILITY (% of Sales)</t>
  </si>
  <si>
    <t>COGS  (% of Sales)</t>
  </si>
  <si>
    <r>
      <rPr>
        <b/>
        <sz val="11"/>
        <rFont val="Calibri"/>
        <family val="2"/>
      </rPr>
      <t>Vertical Integration Benefit: </t>
    </r>
    <r>
      <rPr>
        <sz val="11"/>
        <rFont val="calibri"/>
        <family val="2"/>
      </rPr>
      <t>Slight improvement from as cost controls and high-margin products (batteries) offset inflation.</t>
    </r>
  </si>
  <si>
    <t>SG&amp;A Expenses (% of Sales)</t>
  </si>
  <si>
    <t>High due to competition but improving gradually from 13.05% (2025) as merger synergies are realized.</t>
  </si>
  <si>
    <t>Merger integration costs (% sales)</t>
  </si>
  <si>
    <t>One-time costs (50 crore) for Digi-Tech merger integration. (estimated 10-year amortization, starts FY 2027)</t>
  </si>
  <si>
    <t>Historical Average</t>
  </si>
  <si>
    <t>D&amp;A (% of Opening Assets)</t>
  </si>
  <si>
    <t>Effective Tax Rate*</t>
  </si>
  <si>
    <t>Graduated schedule based on disclosed changes to hi-tech park and manufacturing taxes.</t>
  </si>
  <si>
    <t>4. CAPITAL &amp; FINANCING</t>
  </si>
  <si>
    <t>CapEx % of Revenue</t>
  </si>
  <si>
    <t>In line with historical spending to support growth. [Regular Capex (% of revenue)]</t>
  </si>
  <si>
    <t>5. Lithium Project CAPEX (BDT Crore)</t>
  </si>
  <si>
    <t>One-time CAPEX (BDT 113.66 Cr) for the battery project. [10-year amortization estimated]</t>
  </si>
  <si>
    <t>6. Interest Rate on Debt</t>
  </si>
  <si>
    <t xml:space="preserve">A pre-tax cost of debt of 11.5% is assumed. </t>
  </si>
  <si>
    <t>7. Dividend Payout Ratio</t>
  </si>
  <si>
    <r>
      <rPr>
        <b/>
        <sz val="11"/>
        <rFont val="Calibri"/>
        <family val="2"/>
      </rPr>
      <t>New Policy: </t>
    </r>
    <r>
      <rPr>
        <sz val="11"/>
        <rFont val="calibri"/>
        <family val="2"/>
      </rPr>
      <t>Reflects the permanent shift down from historical levels to retain earnings for growth.</t>
    </r>
  </si>
  <si>
    <t>8. Bangladesh 10Y Government Bond</t>
  </si>
  <si>
    <t>Bangladesh Bank [as of December 1st 2025]</t>
  </si>
  <si>
    <t>9. Country Default Risk</t>
  </si>
  <si>
    <t>NYU Stern Professor Aswath Damodaran, [July, 2025]</t>
  </si>
  <si>
    <t>10. Equity Risk Premium (Bangladesh), ERP</t>
  </si>
  <si>
    <t>11. Terminal Growth Rate (g)</t>
  </si>
  <si>
    <t>A terminal growth rate of 4.0% is assumed. This is a conservative estimate that reflects the company's transition to a mature state by the end of the forecast period. It is below the long-term nominal GDP growth rate of Bangladesh, ensuring the company does not outgrow the economy in perpetuity.</t>
  </si>
  <si>
    <t>*Tax Rate Assumptions:</t>
  </si>
  <si>
    <t>Year</t>
  </si>
  <si>
    <t>Projected Tax Rate</t>
  </si>
  <si>
    <t>FY 2026</t>
  </si>
  <si>
    <t>100% tax exemption on business profits</t>
  </si>
  <si>
    <t>FY 2027</t>
  </si>
  <si>
    <t>FY 2028</t>
  </si>
  <si>
    <t>FY 2029</t>
  </si>
  <si>
    <t>70% tax exemption [ 22.5% * (1 - 0.70)]</t>
  </si>
  <si>
    <t>FY 2030</t>
  </si>
  <si>
    <t>70% tax exemption</t>
  </si>
  <si>
    <t>FY 2031</t>
  </si>
  <si>
    <t>FY 2032 + (Terminal)</t>
  </si>
  <si>
    <t>Full statutory rate applies</t>
  </si>
  <si>
    <t>*Cost of Debt:</t>
  </si>
  <si>
    <t>Pre-tax Cost of Debt:</t>
  </si>
  <si>
    <t>Bangladesh 10Y Government Bond</t>
  </si>
  <si>
    <t>Corporate Credit Spread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</si>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</sst>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E&quot;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4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164" fontId="6" fillId="2" borderId="1" xfId="0" applyNumberFormat="1" applyFont="1" applyFill="1" applyBorder="1"/>
    <xf numFmtId="0" fontId="6" fillId="2" borderId="1" xfId="0" applyFont="1" applyFill="1" applyBorder="1"/>
    <xf numFmtId="0" fontId="7" fillId="0" borderId="0" xfId="0" applyFont="1"/>
    <xf numFmtId="0" fontId="3" fillId="0" borderId="0" xfId="0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/>
    </xf>
    <xf numFmtId="0" fontId="7" fillId="0" borderId="0" xfId="0" applyFon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10" fontId="3" fillId="0" borderId="0" xfId="1" applyNumberFormat="1" applyFont="1"/>
    <xf numFmtId="2" fontId="3" fillId="0" borderId="0" xfId="1" applyNumberFormat="1" applyFont="1"/>
    <xf numFmtId="10" fontId="3" fillId="0" borderId="0" xfId="0" applyNumberFormat="1" applyFont="1"/>
    <xf numFmtId="0" fontId="7" fillId="0" borderId="1" xfId="0" applyFont="1" applyBorder="1"/>
    <xf numFmtId="0" fontId="7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7" fillId="0" borderId="2" xfId="0" applyFont="1" applyBorder="1"/>
    <xf numFmtId="10" fontId="7" fillId="0" borderId="2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9718-C3D1-411C-A8DB-2BDA76FE88E4}">
  <dimension ref="B2:O54"/>
  <sheetViews>
    <sheetView showGridLines="0" tabSelected="1" workbookViewId="0">
      <selection activeCell="E2" sqref="E2"/>
    </sheetView>
  </sheetViews>
  <sheetFormatPr defaultColWidth="9.1796875" defaultRowHeight="14.5" x14ac:dyDescent="0.35"/>
  <cols>
    <col min="1" max="1" width="2.1796875" style="2" customWidth="1"/>
    <col min="2" max="2" width="3.81640625" style="2" customWidth="1"/>
    <col min="3" max="3" width="46.453125" style="2" customWidth="1"/>
    <col min="4" max="13" width="10" style="2" customWidth="1"/>
    <col min="14" max="14" width="2.1796875" style="2" customWidth="1"/>
    <col min="15" max="15" width="130.1796875" style="3" customWidth="1"/>
    <col min="16" max="16384" width="9.1796875" style="2"/>
  </cols>
  <sheetData>
    <row r="2" spans="2:15" ht="18.5" x14ac:dyDescent="0.45">
      <c r="B2" s="1" t="s">
        <v>0</v>
      </c>
    </row>
    <row r="4" spans="2:15" x14ac:dyDescent="0.35">
      <c r="C4" s="4"/>
      <c r="D4" s="5">
        <v>2026</v>
      </c>
      <c r="E4" s="5">
        <v>2027</v>
      </c>
      <c r="F4" s="5">
        <v>2028</v>
      </c>
      <c r="G4" s="5">
        <v>2029</v>
      </c>
      <c r="H4" s="5">
        <v>2030</v>
      </c>
      <c r="I4" s="5">
        <v>2031</v>
      </c>
      <c r="J4" s="5">
        <v>2032</v>
      </c>
      <c r="K4" s="5">
        <v>2033</v>
      </c>
      <c r="L4" s="5">
        <v>2034</v>
      </c>
      <c r="M4" s="5">
        <v>2035</v>
      </c>
      <c r="N4" s="6"/>
      <c r="O4" s="6" t="s">
        <v>1</v>
      </c>
    </row>
    <row r="5" spans="2:15" x14ac:dyDescent="0.35">
      <c r="C5" s="7" t="s">
        <v>2</v>
      </c>
    </row>
    <row r="6" spans="2:15" x14ac:dyDescent="0.35">
      <c r="C6" s="8" t="s">
        <v>3</v>
      </c>
      <c r="D6" s="9">
        <v>0.03</v>
      </c>
      <c r="E6" s="9">
        <v>0.03</v>
      </c>
      <c r="F6" s="9">
        <v>0.03</v>
      </c>
      <c r="G6" s="9">
        <v>0.03</v>
      </c>
      <c r="H6" s="9">
        <v>0.03</v>
      </c>
      <c r="I6" s="9">
        <v>2.5000000000000001E-2</v>
      </c>
      <c r="J6" s="9">
        <v>2.5000000000000001E-2</v>
      </c>
      <c r="K6" s="9">
        <v>2.5000000000000001E-2</v>
      </c>
      <c r="L6" s="9">
        <v>0.02</v>
      </c>
      <c r="M6" s="9">
        <v>0.02</v>
      </c>
      <c r="O6" s="10" t="s">
        <v>4</v>
      </c>
    </row>
    <row r="7" spans="2:15" x14ac:dyDescent="0.35">
      <c r="C7" s="8" t="s">
        <v>5</v>
      </c>
      <c r="D7" s="9">
        <v>0.08</v>
      </c>
      <c r="E7" s="9">
        <v>7.0000000000000007E-2</v>
      </c>
      <c r="F7" s="9">
        <v>0.06</v>
      </c>
      <c r="G7" s="9">
        <v>0.06</v>
      </c>
      <c r="H7" s="9">
        <v>0.06</v>
      </c>
      <c r="I7" s="9">
        <v>5.5E-2</v>
      </c>
      <c r="J7" s="9">
        <v>0.05</v>
      </c>
      <c r="K7" s="9">
        <v>0.05</v>
      </c>
      <c r="L7" s="9">
        <v>0.04</v>
      </c>
      <c r="M7" s="9">
        <v>0.04</v>
      </c>
      <c r="O7" s="10" t="s">
        <v>6</v>
      </c>
    </row>
    <row r="8" spans="2:15" x14ac:dyDescent="0.35">
      <c r="C8" s="8" t="s">
        <v>7</v>
      </c>
      <c r="D8" s="9">
        <v>2.5000000000000001E-2</v>
      </c>
      <c r="E8" s="9">
        <v>0.02</v>
      </c>
      <c r="F8" s="9">
        <v>1.4999999999999999E-2</v>
      </c>
      <c r="G8" s="9">
        <v>1.4999999999999999E-2</v>
      </c>
      <c r="H8" s="9">
        <v>1.4999999999999999E-2</v>
      </c>
      <c r="I8" s="9">
        <v>0.01</v>
      </c>
      <c r="J8" s="9">
        <v>0.01</v>
      </c>
      <c r="K8" s="9">
        <v>0.01</v>
      </c>
      <c r="L8" s="9">
        <v>0.01</v>
      </c>
      <c r="M8" s="9">
        <v>0.01</v>
      </c>
      <c r="O8" s="10" t="s">
        <v>8</v>
      </c>
    </row>
    <row r="9" spans="2:15" x14ac:dyDescent="0.35">
      <c r="C9" s="8" t="s">
        <v>9</v>
      </c>
      <c r="D9" s="9">
        <v>0.1</v>
      </c>
      <c r="E9" s="9">
        <v>0.08</v>
      </c>
      <c r="F9" s="9">
        <v>7.0000000000000007E-2</v>
      </c>
      <c r="G9" s="9">
        <v>0.06</v>
      </c>
      <c r="H9" s="9">
        <v>0.05</v>
      </c>
      <c r="I9" s="9">
        <v>0.05</v>
      </c>
      <c r="J9" s="9">
        <v>0.05</v>
      </c>
      <c r="K9" s="9">
        <v>0.05</v>
      </c>
      <c r="L9" s="9">
        <v>0.05</v>
      </c>
      <c r="M9" s="9">
        <v>0.05</v>
      </c>
      <c r="O9" s="10" t="s">
        <v>10</v>
      </c>
    </row>
    <row r="10" spans="2:15" x14ac:dyDescent="0.35">
      <c r="C10" s="8" t="s">
        <v>11</v>
      </c>
      <c r="D10" s="9">
        <v>0.1</v>
      </c>
      <c r="E10" s="9">
        <v>0.09</v>
      </c>
      <c r="F10" s="9">
        <v>0.08</v>
      </c>
      <c r="G10" s="9">
        <v>7.0000000000000007E-2</v>
      </c>
      <c r="H10" s="9">
        <v>0.06</v>
      </c>
      <c r="I10" s="9">
        <v>0.05</v>
      </c>
      <c r="J10" s="9">
        <v>0.04</v>
      </c>
      <c r="K10" s="9">
        <v>0.04</v>
      </c>
      <c r="L10" s="9">
        <v>0.04</v>
      </c>
      <c r="M10" s="9">
        <v>0.04</v>
      </c>
      <c r="O10" s="10" t="s">
        <v>12</v>
      </c>
    </row>
    <row r="11" spans="2:15" x14ac:dyDescent="0.35">
      <c r="C11" s="8" t="s">
        <v>13</v>
      </c>
      <c r="D11" s="9">
        <v>0.15</v>
      </c>
      <c r="E11" s="9">
        <v>0.14000000000000001</v>
      </c>
      <c r="F11" s="9">
        <v>0.12</v>
      </c>
      <c r="G11" s="9">
        <v>0.1</v>
      </c>
      <c r="H11" s="9">
        <v>0.09</v>
      </c>
      <c r="I11" s="9">
        <v>0.08</v>
      </c>
      <c r="J11" s="9">
        <v>7.0000000000000007E-2</v>
      </c>
      <c r="K11" s="9">
        <v>0.06</v>
      </c>
      <c r="L11" s="9">
        <v>0.05</v>
      </c>
      <c r="M11" s="9">
        <v>0.04</v>
      </c>
      <c r="O11" s="10" t="s">
        <v>14</v>
      </c>
    </row>
    <row r="12" spans="2:15" x14ac:dyDescent="0.35">
      <c r="C12" s="8" t="s">
        <v>15</v>
      </c>
      <c r="D12" s="9">
        <v>0.12</v>
      </c>
      <c r="E12" s="9">
        <v>0.1</v>
      </c>
      <c r="F12" s="9">
        <v>0.08</v>
      </c>
      <c r="G12" s="9">
        <v>7.0000000000000007E-2</v>
      </c>
      <c r="H12" s="9">
        <v>0.06</v>
      </c>
      <c r="I12" s="9">
        <v>0.05</v>
      </c>
      <c r="J12" s="9">
        <v>0.05</v>
      </c>
      <c r="K12" s="9">
        <v>0.05</v>
      </c>
      <c r="L12" s="9">
        <v>0.05</v>
      </c>
      <c r="M12" s="9">
        <v>0.05</v>
      </c>
      <c r="O12" s="10" t="s">
        <v>16</v>
      </c>
    </row>
    <row r="13" spans="2:15" x14ac:dyDescent="0.35">
      <c r="C13" s="8" t="s">
        <v>17</v>
      </c>
      <c r="D13" s="9">
        <v>0.18</v>
      </c>
      <c r="E13" s="9">
        <v>0.16</v>
      </c>
      <c r="F13" s="9">
        <v>0.14000000000000001</v>
      </c>
      <c r="G13" s="9">
        <v>0.12</v>
      </c>
      <c r="H13" s="9">
        <v>0.1</v>
      </c>
      <c r="I13" s="9">
        <v>0.08</v>
      </c>
      <c r="J13" s="9">
        <v>7.0000000000000007E-2</v>
      </c>
      <c r="K13" s="9">
        <v>0.06</v>
      </c>
      <c r="L13" s="9">
        <v>0.06</v>
      </c>
      <c r="M13" s="9">
        <v>0.06</v>
      </c>
      <c r="O13" s="10" t="s">
        <v>18</v>
      </c>
    </row>
    <row r="14" spans="2:15" x14ac:dyDescent="0.35">
      <c r="C14" s="8" t="s">
        <v>19</v>
      </c>
      <c r="D14" s="9">
        <v>0.08</v>
      </c>
      <c r="E14" s="9">
        <v>7.0000000000000007E-2</v>
      </c>
      <c r="F14" s="9">
        <v>0.06</v>
      </c>
      <c r="G14" s="9">
        <v>0.05</v>
      </c>
      <c r="H14" s="9">
        <v>0.05</v>
      </c>
      <c r="I14" s="9">
        <v>0.04</v>
      </c>
      <c r="J14" s="9">
        <v>0.04</v>
      </c>
      <c r="K14" s="9">
        <v>0.04</v>
      </c>
      <c r="L14" s="9">
        <v>0.04</v>
      </c>
      <c r="M14" s="9">
        <v>0.04</v>
      </c>
      <c r="O14" s="10" t="s">
        <v>20</v>
      </c>
    </row>
    <row r="15" spans="2:15" x14ac:dyDescent="0.35">
      <c r="C15" s="8" t="s">
        <v>21</v>
      </c>
      <c r="D15" s="9">
        <v>0</v>
      </c>
      <c r="E15" s="9">
        <v>0.3</v>
      </c>
      <c r="F15" s="9">
        <v>0.25</v>
      </c>
      <c r="G15" s="9">
        <v>0.2</v>
      </c>
      <c r="H15" s="9">
        <v>0.15</v>
      </c>
      <c r="I15" s="9">
        <v>0.1</v>
      </c>
      <c r="J15" s="9">
        <v>0.09</v>
      </c>
      <c r="K15" s="9">
        <v>0.08</v>
      </c>
      <c r="L15" s="9">
        <v>7.0000000000000007E-2</v>
      </c>
      <c r="M15" s="9">
        <v>0.06</v>
      </c>
      <c r="O15" s="10" t="s">
        <v>22</v>
      </c>
    </row>
    <row r="16" spans="2:15" x14ac:dyDescent="0.35">
      <c r="C16" s="8" t="s">
        <v>23</v>
      </c>
      <c r="D16" s="9"/>
      <c r="E16" s="9">
        <v>0.25</v>
      </c>
      <c r="F16" s="9">
        <v>0.2</v>
      </c>
      <c r="G16" s="9">
        <v>0.15</v>
      </c>
      <c r="H16" s="9">
        <v>0.12</v>
      </c>
      <c r="I16" s="9">
        <v>0.1</v>
      </c>
      <c r="J16" s="9">
        <v>0.1</v>
      </c>
      <c r="K16" s="9">
        <v>0.08</v>
      </c>
      <c r="L16" s="9">
        <v>0.08</v>
      </c>
      <c r="M16" s="9">
        <v>0.08</v>
      </c>
      <c r="O16" s="10" t="s">
        <v>24</v>
      </c>
    </row>
    <row r="17" spans="3:15" x14ac:dyDescent="0.35">
      <c r="C17" s="8" t="s">
        <v>25</v>
      </c>
      <c r="D17" s="9">
        <v>0.08</v>
      </c>
      <c r="E17" s="9">
        <v>0.08</v>
      </c>
      <c r="F17" s="9">
        <v>0.08</v>
      </c>
      <c r="G17" s="9">
        <v>0.08</v>
      </c>
      <c r="H17" s="9">
        <v>0.08</v>
      </c>
      <c r="I17" s="9">
        <v>0.08</v>
      </c>
      <c r="J17" s="9">
        <v>0.08</v>
      </c>
      <c r="K17" s="9">
        <v>0.08</v>
      </c>
      <c r="L17" s="9">
        <v>0.08</v>
      </c>
      <c r="M17" s="9">
        <v>0.08</v>
      </c>
      <c r="O17" s="10" t="s">
        <v>26</v>
      </c>
    </row>
    <row r="18" spans="3:15" x14ac:dyDescent="0.35">
      <c r="C18" s="8" t="s">
        <v>27</v>
      </c>
      <c r="E18" s="11">
        <f>1015.91*(1+E15)</f>
        <v>1320.683</v>
      </c>
      <c r="F18" s="9"/>
      <c r="G18" s="9"/>
      <c r="H18" s="9"/>
      <c r="I18" s="9"/>
      <c r="J18" s="9"/>
      <c r="K18" s="9"/>
      <c r="L18" s="9"/>
      <c r="M18" s="9"/>
      <c r="O18" s="10" t="s">
        <v>28</v>
      </c>
    </row>
    <row r="19" spans="3:15" x14ac:dyDescent="0.35">
      <c r="C19" s="8" t="s">
        <v>29</v>
      </c>
      <c r="D19" s="12">
        <f>(80000*8000)/10000000</f>
        <v>64</v>
      </c>
      <c r="E19" s="9"/>
      <c r="F19" s="9"/>
      <c r="G19" s="9"/>
      <c r="H19" s="9"/>
      <c r="I19" s="9"/>
      <c r="J19" s="9"/>
      <c r="K19" s="9"/>
      <c r="L19" s="9"/>
      <c r="M19" s="9"/>
      <c r="O19" s="10" t="s">
        <v>30</v>
      </c>
    </row>
    <row r="20" spans="3:15" x14ac:dyDescent="0.35"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O20" s="10"/>
    </row>
    <row r="21" spans="3:15" x14ac:dyDescent="0.35">
      <c r="C21" s="7" t="s">
        <v>31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3:15" x14ac:dyDescent="0.35">
      <c r="C22" s="2" t="s">
        <v>32</v>
      </c>
      <c r="D22" s="15">
        <v>0.64</v>
      </c>
      <c r="E22" s="15">
        <v>0.64</v>
      </c>
      <c r="F22" s="15">
        <v>0.63</v>
      </c>
      <c r="G22" s="15">
        <v>0.63</v>
      </c>
      <c r="H22" s="15">
        <v>0.63</v>
      </c>
      <c r="I22" s="15">
        <v>0.62</v>
      </c>
      <c r="J22" s="15">
        <v>0.62</v>
      </c>
      <c r="K22" s="15">
        <v>0.6</v>
      </c>
      <c r="L22" s="15">
        <v>0.6</v>
      </c>
      <c r="M22" s="15">
        <v>0.6</v>
      </c>
      <c r="N22" s="15"/>
      <c r="O22" s="3" t="s">
        <v>33</v>
      </c>
    </row>
    <row r="23" spans="3:15" x14ac:dyDescent="0.35">
      <c r="C23" s="2" t="s">
        <v>34</v>
      </c>
      <c r="D23" s="15">
        <v>0.12</v>
      </c>
      <c r="E23" s="15">
        <v>0.11700000000000001</v>
      </c>
      <c r="F23" s="15">
        <v>0.114</v>
      </c>
      <c r="G23" s="15">
        <v>0.112</v>
      </c>
      <c r="H23" s="15">
        <v>0.11</v>
      </c>
      <c r="I23" s="15">
        <v>0.1</v>
      </c>
      <c r="J23" s="15">
        <v>0.1</v>
      </c>
      <c r="K23" s="15">
        <v>0.1</v>
      </c>
      <c r="L23" s="15">
        <v>0.1</v>
      </c>
      <c r="M23" s="15">
        <v>0.1</v>
      </c>
      <c r="N23" s="15"/>
      <c r="O23" s="3" t="s">
        <v>35</v>
      </c>
    </row>
    <row r="24" spans="3:15" x14ac:dyDescent="0.35">
      <c r="C24" s="2" t="s">
        <v>36</v>
      </c>
      <c r="D24" s="16"/>
      <c r="E24" s="16">
        <v>50</v>
      </c>
      <c r="F24" s="16"/>
      <c r="G24" s="16"/>
      <c r="H24" s="16"/>
      <c r="I24" s="16"/>
      <c r="J24" s="16"/>
      <c r="K24" s="16"/>
      <c r="L24" s="16"/>
      <c r="M24" s="16"/>
      <c r="N24" s="15"/>
      <c r="O24" s="3" t="s">
        <v>37</v>
      </c>
    </row>
    <row r="25" spans="3:15" x14ac:dyDescent="0.35">
      <c r="C25" s="2" t="s">
        <v>39</v>
      </c>
      <c r="D25" s="15">
        <v>3.2232188931498332E-2</v>
      </c>
      <c r="E25" s="15">
        <v>3.2232188931498332E-2</v>
      </c>
      <c r="F25" s="15">
        <v>3.2232188931498332E-2</v>
      </c>
      <c r="G25" s="15">
        <v>3.2232188931498332E-2</v>
      </c>
      <c r="H25" s="15">
        <v>3.2232188931498332E-2</v>
      </c>
      <c r="I25" s="15">
        <v>3.2232188931498332E-2</v>
      </c>
      <c r="J25" s="15">
        <v>3.2232188931498332E-2</v>
      </c>
      <c r="K25" s="15">
        <v>3.2232188931498332E-2</v>
      </c>
      <c r="L25" s="15">
        <v>3.2232188931498332E-2</v>
      </c>
      <c r="M25" s="15">
        <v>3.2232188931498332E-2</v>
      </c>
      <c r="O25" s="3" t="s">
        <v>38</v>
      </c>
    </row>
    <row r="26" spans="3:15" x14ac:dyDescent="0.35">
      <c r="C26" s="2" t="s">
        <v>40</v>
      </c>
      <c r="D26" s="15">
        <f>D42</f>
        <v>0</v>
      </c>
      <c r="E26" s="15">
        <f>D43</f>
        <v>0</v>
      </c>
      <c r="F26" s="15">
        <f>D44</f>
        <v>0</v>
      </c>
      <c r="G26" s="15">
        <f>D45</f>
        <v>6.7500000000000004E-2</v>
      </c>
      <c r="H26" s="15">
        <f>D46</f>
        <v>6.7500000000000004E-2</v>
      </c>
      <c r="I26" s="15">
        <f>H26</f>
        <v>6.7500000000000004E-2</v>
      </c>
      <c r="J26" s="15">
        <f>D48</f>
        <v>0.22500000000000001</v>
      </c>
      <c r="K26" s="15">
        <f t="shared" ref="K26:M26" si="0">J26</f>
        <v>0.22500000000000001</v>
      </c>
      <c r="L26" s="15">
        <f t="shared" si="0"/>
        <v>0.22500000000000001</v>
      </c>
      <c r="M26" s="15">
        <f t="shared" si="0"/>
        <v>0.22500000000000001</v>
      </c>
      <c r="N26" s="15"/>
      <c r="O26" s="3" t="s">
        <v>41</v>
      </c>
    </row>
    <row r="28" spans="3:15" x14ac:dyDescent="0.35">
      <c r="C28" s="7" t="s">
        <v>42</v>
      </c>
    </row>
    <row r="29" spans="3:15" x14ac:dyDescent="0.35">
      <c r="C29" s="2" t="s">
        <v>43</v>
      </c>
      <c r="D29" s="15">
        <v>7.8610096086960637E-2</v>
      </c>
      <c r="E29" s="15">
        <v>7.8610096086960637E-2</v>
      </c>
      <c r="F29" s="15">
        <v>7.8610096086960637E-2</v>
      </c>
      <c r="G29" s="15">
        <v>7.8610096086960637E-2</v>
      </c>
      <c r="H29" s="15">
        <v>7.8610096086960637E-2</v>
      </c>
      <c r="I29" s="15">
        <v>7.8610096086960637E-2</v>
      </c>
      <c r="J29" s="15">
        <v>7.8610096086960637E-2</v>
      </c>
      <c r="K29" s="15">
        <v>7.8610096086960637E-2</v>
      </c>
      <c r="L29" s="15">
        <v>7.8610096086960637E-2</v>
      </c>
      <c r="M29" s="15">
        <v>7.8610096086960637E-2</v>
      </c>
      <c r="N29" s="15"/>
      <c r="O29" s="3" t="s">
        <v>44</v>
      </c>
    </row>
    <row r="30" spans="3:15" x14ac:dyDescent="0.35"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3:15" x14ac:dyDescent="0.35">
      <c r="C31" s="7" t="s">
        <v>45</v>
      </c>
      <c r="D31" s="16">
        <v>113.66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5"/>
      <c r="O31" s="3" t="s">
        <v>46</v>
      </c>
    </row>
    <row r="32" spans="3:15" x14ac:dyDescent="0.35">
      <c r="C32" s="2" t="s">
        <v>47</v>
      </c>
      <c r="D32" s="15">
        <f t="shared" ref="D32:M32" si="1">$D$54</f>
        <v>0.1192</v>
      </c>
      <c r="E32" s="15">
        <f t="shared" si="1"/>
        <v>0.1192</v>
      </c>
      <c r="F32" s="15">
        <f t="shared" si="1"/>
        <v>0.1192</v>
      </c>
      <c r="G32" s="15">
        <f t="shared" si="1"/>
        <v>0.1192</v>
      </c>
      <c r="H32" s="15">
        <f t="shared" si="1"/>
        <v>0.1192</v>
      </c>
      <c r="I32" s="15">
        <f t="shared" si="1"/>
        <v>0.1192</v>
      </c>
      <c r="J32" s="15">
        <f t="shared" si="1"/>
        <v>0.1192</v>
      </c>
      <c r="K32" s="15">
        <f t="shared" si="1"/>
        <v>0.1192</v>
      </c>
      <c r="L32" s="15">
        <f t="shared" si="1"/>
        <v>0.1192</v>
      </c>
      <c r="M32" s="15">
        <f t="shared" si="1"/>
        <v>0.1192</v>
      </c>
      <c r="N32" s="15"/>
      <c r="O32" s="3" t="s">
        <v>48</v>
      </c>
    </row>
    <row r="33" spans="3:15" x14ac:dyDescent="0.35">
      <c r="C33" s="2" t="s">
        <v>49</v>
      </c>
      <c r="D33" s="15">
        <v>0.4</v>
      </c>
      <c r="E33" s="15">
        <v>0.4</v>
      </c>
      <c r="F33" s="15">
        <v>0.4</v>
      </c>
      <c r="G33" s="15">
        <v>0.4</v>
      </c>
      <c r="H33" s="15">
        <v>0.4</v>
      </c>
      <c r="I33" s="15">
        <v>0.4</v>
      </c>
      <c r="J33" s="15">
        <v>0.4</v>
      </c>
      <c r="K33" s="15">
        <v>0.4</v>
      </c>
      <c r="L33" s="15">
        <v>0.4</v>
      </c>
      <c r="M33" s="15">
        <v>0.4</v>
      </c>
      <c r="N33" s="15"/>
      <c r="O33" s="3" t="s">
        <v>50</v>
      </c>
    </row>
    <row r="34" spans="3:15" x14ac:dyDescent="0.35"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3:15" x14ac:dyDescent="0.35">
      <c r="C35" s="2" t="s">
        <v>51</v>
      </c>
      <c r="D35" s="17">
        <v>0.1042</v>
      </c>
      <c r="O35" s="3" t="s">
        <v>52</v>
      </c>
    </row>
    <row r="36" spans="3:15" x14ac:dyDescent="0.35">
      <c r="C36" s="2" t="s">
        <v>53</v>
      </c>
      <c r="D36" s="17">
        <v>8.1370487408044728E-2</v>
      </c>
      <c r="O36" s="3" t="s">
        <v>54</v>
      </c>
    </row>
    <row r="37" spans="3:15" x14ac:dyDescent="0.35">
      <c r="C37" s="2" t="s">
        <v>55</v>
      </c>
      <c r="D37" s="17">
        <v>0.1235</v>
      </c>
      <c r="O37" s="3" t="s">
        <v>54</v>
      </c>
    </row>
    <row r="38" spans="3:15" x14ac:dyDescent="0.35">
      <c r="C38" s="2" t="s">
        <v>56</v>
      </c>
      <c r="D38" s="17">
        <v>0.04</v>
      </c>
      <c r="I38" s="17"/>
      <c r="J38" s="17"/>
      <c r="K38" s="17"/>
      <c r="L38" s="17"/>
      <c r="M38" s="17"/>
      <c r="N38" s="17"/>
      <c r="O38" s="3" t="s">
        <v>57</v>
      </c>
    </row>
    <row r="40" spans="3:15" x14ac:dyDescent="0.35">
      <c r="C40" s="18" t="s">
        <v>58</v>
      </c>
    </row>
    <row r="41" spans="3:15" s="22" customFormat="1" ht="29" x14ac:dyDescent="0.35">
      <c r="C41" s="13" t="s">
        <v>59</v>
      </c>
      <c r="D41" s="13" t="s">
        <v>60</v>
      </c>
      <c r="E41" s="19" t="s">
        <v>1</v>
      </c>
      <c r="F41" s="10"/>
      <c r="G41" s="10"/>
      <c r="H41" s="20"/>
      <c r="I41" s="20"/>
      <c r="J41" s="20"/>
      <c r="K41" s="20"/>
      <c r="L41" s="20"/>
      <c r="M41" s="20"/>
      <c r="N41" s="20"/>
      <c r="O41" s="21"/>
    </row>
    <row r="42" spans="3:15" x14ac:dyDescent="0.35">
      <c r="C42" s="2" t="s">
        <v>61</v>
      </c>
      <c r="D42" s="15">
        <v>0</v>
      </c>
      <c r="E42" s="2" t="s">
        <v>62</v>
      </c>
    </row>
    <row r="43" spans="3:15" x14ac:dyDescent="0.35">
      <c r="C43" s="2" t="s">
        <v>63</v>
      </c>
      <c r="D43" s="15">
        <v>0</v>
      </c>
      <c r="E43" s="2" t="s">
        <v>62</v>
      </c>
    </row>
    <row r="44" spans="3:15" x14ac:dyDescent="0.35">
      <c r="C44" s="2" t="s">
        <v>64</v>
      </c>
      <c r="D44" s="15">
        <v>0</v>
      </c>
      <c r="E44" s="2" t="s">
        <v>62</v>
      </c>
    </row>
    <row r="45" spans="3:15" x14ac:dyDescent="0.35">
      <c r="C45" s="2" t="s">
        <v>65</v>
      </c>
      <c r="D45" s="15">
        <v>6.7500000000000004E-2</v>
      </c>
      <c r="E45" s="2" t="s">
        <v>66</v>
      </c>
    </row>
    <row r="46" spans="3:15" x14ac:dyDescent="0.35">
      <c r="C46" s="2" t="s">
        <v>67</v>
      </c>
      <c r="D46" s="15">
        <v>6.7500000000000004E-2</v>
      </c>
      <c r="E46" s="2" t="s">
        <v>68</v>
      </c>
    </row>
    <row r="47" spans="3:15" x14ac:dyDescent="0.35">
      <c r="C47" s="2" t="s">
        <v>69</v>
      </c>
      <c r="D47" s="15">
        <v>6.7500000000000004E-2</v>
      </c>
      <c r="E47" s="2" t="s">
        <v>68</v>
      </c>
    </row>
    <row r="48" spans="3:15" x14ac:dyDescent="0.35">
      <c r="C48" s="2" t="s">
        <v>70</v>
      </c>
      <c r="D48" s="15">
        <v>0.22500000000000001</v>
      </c>
      <c r="E48" s="2" t="s">
        <v>71</v>
      </c>
    </row>
    <row r="50" spans="3:4" x14ac:dyDescent="0.35">
      <c r="C50" s="18" t="s">
        <v>72</v>
      </c>
    </row>
    <row r="51" spans="3:4" x14ac:dyDescent="0.35">
      <c r="C51" s="2" t="s">
        <v>73</v>
      </c>
    </row>
    <row r="52" spans="3:4" x14ac:dyDescent="0.35">
      <c r="C52" s="2" t="s">
        <v>74</v>
      </c>
      <c r="D52" s="17">
        <f>D35</f>
        <v>0.1042</v>
      </c>
    </row>
    <row r="53" spans="3:4" x14ac:dyDescent="0.35">
      <c r="C53" s="2" t="s">
        <v>75</v>
      </c>
      <c r="D53" s="17">
        <v>1.4999999999999999E-2</v>
      </c>
    </row>
    <row r="54" spans="3:4" x14ac:dyDescent="0.35">
      <c r="C54" s="23" t="s">
        <v>76</v>
      </c>
      <c r="D54" s="24">
        <f>SUM(D52:D53)</f>
        <v>0.1192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Ifta Hider Rahman</dc:creator>
  <cp:lastModifiedBy>Ifta Hider Rahman</cp:lastModifiedBy>
  <dcterms:created xsi:type="dcterms:W3CDTF">2025-12-04T04:18:56Z</dcterms:created>
  <dcterms:modified xsi:type="dcterms:W3CDTF">2025-12-04T04:21:17Z</dcterms:modified>
</cp:coreProperties>
</file>