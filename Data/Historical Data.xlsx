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CF Valuation - Walton Hi-Tech\"/>
    </mc:Choice>
  </mc:AlternateContent>
  <xr:revisionPtr revIDLastSave="0" documentId="13_ncr:1_{6ABA273D-9D14-4295-97D4-8FD945D9A944}" xr6:coauthVersionLast="47" xr6:coauthVersionMax="47" xr10:uidLastSave="{00000000-0000-0000-0000-000000000000}"/>
  <bookViews>
    <workbookView xWindow="-110" yWindow="-110" windowWidth="19420" windowHeight="10300" xr2:uid="{E49ED42A-5145-4437-924C-464557DC2F9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5" i="1" l="1"/>
  <c r="H185" i="1"/>
  <c r="G185" i="1"/>
  <c r="F185" i="1"/>
  <c r="E185" i="1"/>
  <c r="D185" i="1"/>
  <c r="C185" i="1"/>
  <c r="I184" i="1"/>
  <c r="H184" i="1"/>
  <c r="G184" i="1"/>
  <c r="F184" i="1"/>
  <c r="E184" i="1"/>
  <c r="D184" i="1"/>
  <c r="C184" i="1"/>
  <c r="I183" i="1"/>
  <c r="H183" i="1"/>
  <c r="G183" i="1"/>
  <c r="F183" i="1"/>
  <c r="E183" i="1"/>
  <c r="D183" i="1"/>
  <c r="C183" i="1"/>
  <c r="I182" i="1"/>
  <c r="H182" i="1"/>
  <c r="G182" i="1"/>
  <c r="F182" i="1"/>
  <c r="E182" i="1"/>
  <c r="D182" i="1"/>
  <c r="C182" i="1"/>
  <c r="I181" i="1"/>
  <c r="H181" i="1"/>
  <c r="G181" i="1"/>
  <c r="F181" i="1"/>
  <c r="E181" i="1"/>
  <c r="D181" i="1"/>
  <c r="C181" i="1"/>
  <c r="I180" i="1"/>
  <c r="H180" i="1"/>
  <c r="G180" i="1"/>
  <c r="F180" i="1"/>
  <c r="E180" i="1"/>
  <c r="I179" i="1"/>
  <c r="H179" i="1"/>
  <c r="G179" i="1"/>
  <c r="F179" i="1"/>
  <c r="E179" i="1"/>
  <c r="I178" i="1"/>
  <c r="H178" i="1"/>
  <c r="G178" i="1"/>
  <c r="F178" i="1"/>
  <c r="E178" i="1"/>
  <c r="D178" i="1"/>
  <c r="C178" i="1"/>
  <c r="I177" i="1"/>
  <c r="H177" i="1"/>
  <c r="G177" i="1"/>
  <c r="F177" i="1"/>
  <c r="E177" i="1"/>
  <c r="D177" i="1"/>
  <c r="C177" i="1"/>
  <c r="I176" i="1"/>
  <c r="H176" i="1"/>
  <c r="G176" i="1"/>
  <c r="F176" i="1"/>
  <c r="E176" i="1"/>
  <c r="D176" i="1"/>
  <c r="C176" i="1"/>
  <c r="I175" i="1"/>
  <c r="H175" i="1"/>
  <c r="G175" i="1"/>
  <c r="F175" i="1"/>
  <c r="E175" i="1"/>
  <c r="D175" i="1"/>
  <c r="C175" i="1"/>
  <c r="I174" i="1"/>
  <c r="H174" i="1"/>
  <c r="G174" i="1"/>
  <c r="F174" i="1"/>
  <c r="E174" i="1"/>
  <c r="D174" i="1"/>
  <c r="C174" i="1"/>
  <c r="I114" i="1"/>
  <c r="H114" i="1"/>
  <c r="G114" i="1"/>
  <c r="F114" i="1"/>
  <c r="E114" i="1"/>
  <c r="D114" i="1"/>
  <c r="C114" i="1"/>
  <c r="I103" i="1"/>
  <c r="H103" i="1"/>
  <c r="G103" i="1"/>
  <c r="F103" i="1"/>
  <c r="E103" i="1"/>
  <c r="D103" i="1"/>
  <c r="C103" i="1"/>
  <c r="D93" i="1"/>
  <c r="D115" i="1" s="1"/>
  <c r="D117" i="1" s="1"/>
  <c r="I90" i="1"/>
  <c r="I93" i="1" s="1"/>
  <c r="H90" i="1"/>
  <c r="H93" i="1" s="1"/>
  <c r="G90" i="1"/>
  <c r="G93" i="1" s="1"/>
  <c r="F90" i="1"/>
  <c r="F93" i="1" s="1"/>
  <c r="E90" i="1"/>
  <c r="E93" i="1" s="1"/>
  <c r="D90" i="1"/>
  <c r="C90" i="1"/>
  <c r="C93" i="1" s="1"/>
  <c r="F115" i="1" l="1"/>
  <c r="F117" i="1" s="1"/>
  <c r="C115" i="1"/>
  <c r="C117" i="1" s="1"/>
  <c r="G115" i="1"/>
  <c r="G117" i="1" s="1"/>
  <c r="H115" i="1"/>
  <c r="H117" i="1" s="1"/>
  <c r="E115" i="1"/>
  <c r="E117" i="1" s="1"/>
  <c r="I115" i="1"/>
  <c r="I117" i="1" s="1"/>
</calcChain>
</file>

<file path=xl/sharedStrings.xml><?xml version="1.0" encoding="utf-8"?>
<sst xmlns="http://schemas.openxmlformats.org/spreadsheetml/2006/main" count="333" uniqueCount="202">
  <si>
    <t>Company Name</t>
  </si>
  <si>
    <t>Walton Hi-Tech Industries PLC</t>
  </si>
  <si>
    <t>Ticker: </t>
  </si>
  <si>
    <t>WALTONHIL</t>
  </si>
  <si>
    <t>Exchange: </t>
  </si>
  <si>
    <t>DSE</t>
  </si>
  <si>
    <t>Industry: </t>
  </si>
  <si>
    <t>Household Appliances</t>
  </si>
  <si>
    <t>Sector: </t>
  </si>
  <si>
    <t>Consumer Durables</t>
  </si>
  <si>
    <t>Face Value Per Share</t>
  </si>
  <si>
    <t>Current Share Price BDT</t>
  </si>
  <si>
    <t>Market Cap BDT (mn)</t>
  </si>
  <si>
    <t>Shares Outstanding</t>
  </si>
  <si>
    <t>Income Statement</t>
  </si>
  <si>
    <t>Particulars</t>
  </si>
  <si>
    <t>Sales revenue, net</t>
  </si>
  <si>
    <t>Purchase</t>
  </si>
  <si>
    <t>Cost of goods sold</t>
  </si>
  <si>
    <t>Gross profit</t>
  </si>
  <si>
    <t>Operating expenses</t>
  </si>
  <si>
    <t>Selling &amp; distribution expenses</t>
  </si>
  <si>
    <t>Administrative expenses</t>
  </si>
  <si>
    <t>Depreciation</t>
  </si>
  <si>
    <t>Amortization</t>
  </si>
  <si>
    <t>Operating profit</t>
  </si>
  <si>
    <t>Other income/Miscellaneous income</t>
  </si>
  <si>
    <t>-</t>
  </si>
  <si>
    <t>Non-operating income</t>
  </si>
  <si>
    <t>Finance income</t>
  </si>
  <si>
    <t>Finance costs</t>
  </si>
  <si>
    <t>Profit before WPPF &amp; Tax</t>
  </si>
  <si>
    <t>Contribution to WPPF</t>
  </si>
  <si>
    <t>Profit before taxation</t>
  </si>
  <si>
    <t>Income tax expense</t>
  </si>
  <si>
    <t>Current Tax</t>
  </si>
  <si>
    <t>Deferred Tax</t>
  </si>
  <si>
    <t>Profit after tax</t>
  </si>
  <si>
    <t>Earnings Per Share (EPS)</t>
  </si>
  <si>
    <t>Balance Sheet</t>
  </si>
  <si>
    <t>Property, plant and equipment, net</t>
  </si>
  <si>
    <t>Intangible assets</t>
  </si>
  <si>
    <t>Right-of-Use (ROU) asset</t>
  </si>
  <si>
    <t>Other Non-current assets</t>
  </si>
  <si>
    <t>Investments</t>
  </si>
  <si>
    <t>Total Non-current assets</t>
  </si>
  <si>
    <t>Inventories</t>
  </si>
  <si>
    <t>Accounts Receivable</t>
  </si>
  <si>
    <t>Other Receivables</t>
  </si>
  <si>
    <t>Trade and other receivables</t>
  </si>
  <si>
    <t>Investment</t>
  </si>
  <si>
    <t>Advances, deposits and prepayments</t>
  </si>
  <si>
    <t>Short term investments</t>
  </si>
  <si>
    <t>Cash and cash equivalents</t>
  </si>
  <si>
    <t>Total Current assets</t>
  </si>
  <si>
    <t>Total assets</t>
  </si>
  <si>
    <t>Share Capital</t>
  </si>
  <si>
    <t>Share Premium</t>
  </si>
  <si>
    <t>Revaluation Reserve</t>
  </si>
  <si>
    <t>Retained Earnings</t>
  </si>
  <si>
    <t>Share Money Deposit</t>
  </si>
  <si>
    <t>Equity attributable to owners of the company</t>
  </si>
  <si>
    <t>Total equity</t>
  </si>
  <si>
    <t>Long Term Borrowings/Loan</t>
  </si>
  <si>
    <t>Deferred Tax Liabilities</t>
  </si>
  <si>
    <t>Lease Liability</t>
  </si>
  <si>
    <t>UNDP Fund</t>
  </si>
  <si>
    <t>Total Non-current liabilities</t>
  </si>
  <si>
    <t>Trade and other payables</t>
  </si>
  <si>
    <t>Short term loan</t>
  </si>
  <si>
    <t>Current Portion of Long Term Borrowings/Loan</t>
  </si>
  <si>
    <t>Current portion of lease obligation/ Finance</t>
  </si>
  <si>
    <t>Accruals and provisions</t>
  </si>
  <si>
    <t>Unclaimed Dividend</t>
  </si>
  <si>
    <t>Total Current liabilities</t>
  </si>
  <si>
    <t>Total equity and liabilities</t>
  </si>
  <si>
    <t>Net Asset Value (NAV)</t>
  </si>
  <si>
    <t>Net Asset Value (NAV) including Revaluation Surplus</t>
  </si>
  <si>
    <t>Net Asset Value (NAV) excluding Revaluation Surplus</t>
  </si>
  <si>
    <t>Number of Shares Outstanding</t>
  </si>
  <si>
    <t>Dividend Per Share</t>
  </si>
  <si>
    <t>Cashflow Statement (Direct Method - from Annual Reports)</t>
  </si>
  <si>
    <t>Payroll and Other Income</t>
  </si>
  <si>
    <t>Cash Received from customers</t>
  </si>
  <si>
    <t>Cash Receipts from Other Income</t>
  </si>
  <si>
    <t>Payment to Suppliers for Goods, Services and Others</t>
  </si>
  <si>
    <t>Payment to employees</t>
  </si>
  <si>
    <t>Cash generated from operation</t>
  </si>
  <si>
    <t>Payment for WPPF</t>
  </si>
  <si>
    <t>Payment against Tax and VAT</t>
  </si>
  <si>
    <t>A. Net cash from operating activities</t>
  </si>
  <si>
    <t>Acquisition of property, plant and equipment</t>
  </si>
  <si>
    <t>Interest income from FDR &amp; IPO</t>
  </si>
  <si>
    <t>Encash in long term/term deposits/ Increase/(Decrease) in Long term and other investment / Long Term Investment (Payment)/ Encasement-Net</t>
  </si>
  <si>
    <t>Encash in short term/term deposits</t>
  </si>
  <si>
    <t>Received from Dividend and Other lnvestment lncome</t>
  </si>
  <si>
    <t>Encashment / (Payment) of Investments in Securities</t>
  </si>
  <si>
    <t>Payment for Intangible Assets</t>
  </si>
  <si>
    <t>Proceeds from sale of property, plant and equipment</t>
  </si>
  <si>
    <t>B. Net cash from/(used in) investing activities</t>
  </si>
  <si>
    <t>Payment for Financial Costs</t>
  </si>
  <si>
    <t>Share Capital Proceed through IPO</t>
  </si>
  <si>
    <t>Share money refund/deposit</t>
  </si>
  <si>
    <t>Dividends paid</t>
  </si>
  <si>
    <t>Long Term Loan-Received/(Repaid), Net</t>
  </si>
  <si>
    <t>Received from UNDP</t>
  </si>
  <si>
    <t>Lease Payments</t>
  </si>
  <si>
    <t>Unclaimed and Undistributed Dividend</t>
  </si>
  <si>
    <t>Short Term Loan-Received/(Repaid), Net</t>
  </si>
  <si>
    <t>C.Net cash used in financing activities</t>
  </si>
  <si>
    <t>D. Net increase/(decrease) in cash (A+B+C)</t>
  </si>
  <si>
    <t>E. Cash and cash equivalent at beginning of the year</t>
  </si>
  <si>
    <t>F. Cash and cash equivalent at end of the year</t>
  </si>
  <si>
    <t>Consolidated Net Operating Cash Flow Per Share (NOCFPS)</t>
  </si>
  <si>
    <t>Total Debt</t>
  </si>
  <si>
    <t>Cashflow Statement (Indirect Method - StockAnalysis)</t>
  </si>
  <si>
    <t>Fiscal Year</t>
  </si>
  <si>
    <t>FY 2021</t>
  </si>
  <si>
    <t>FY 2022</t>
  </si>
  <si>
    <t>FY 2023</t>
  </si>
  <si>
    <t>FY 2024</t>
  </si>
  <si>
    <t>FY 2025</t>
  </si>
  <si>
    <t>Period Ending</t>
  </si>
  <si>
    <t>Net Income</t>
  </si>
  <si>
    <t>Loss (Gain) From Sale of Assets</t>
  </si>
  <si>
    <t>Asset Writedown &amp; Restructuring Costs</t>
  </si>
  <si>
    <t>Loss (Gain) From Sale of Investments</t>
  </si>
  <si>
    <t>Other Operating Activities</t>
  </si>
  <si>
    <t>Change in Accounts Receivable</t>
  </si>
  <si>
    <t>Change in Inventory</t>
  </si>
  <si>
    <t>Change in Accounts Payable</t>
  </si>
  <si>
    <t>Change in Income Taxes</t>
  </si>
  <si>
    <t>Change in Other Net Operating Assets</t>
  </si>
  <si>
    <t>Operating Cash Flow</t>
  </si>
  <si>
    <t>Operating Cash Flow Growth</t>
  </si>
  <si>
    <t>Capital Expenditures</t>
  </si>
  <si>
    <t>Sale of Property, Plant &amp; Equipment</t>
  </si>
  <si>
    <t>Sale (Purchase) of Intangibles</t>
  </si>
  <si>
    <t>Investment in Securities</t>
  </si>
  <si>
    <t>Other Investing Activities</t>
  </si>
  <si>
    <t>Investing Cash Flow</t>
  </si>
  <si>
    <t>Short-Term Debt Issued</t>
  </si>
  <si>
    <t>Long-Term Debt Issued</t>
  </si>
  <si>
    <t>Total Debt Issued</t>
  </si>
  <si>
    <t>Short-Term Debt Repaid</t>
  </si>
  <si>
    <t>Long-Term Debt Repaid</t>
  </si>
  <si>
    <t>Total Debt Repaid</t>
  </si>
  <si>
    <t>Net Debt Issued (Repaid)</t>
  </si>
  <si>
    <t>Issuance of Common Stock</t>
  </si>
  <si>
    <t>Common Dividends Paid</t>
  </si>
  <si>
    <t>Other Financing Activities</t>
  </si>
  <si>
    <t>Financing Cash Flow</t>
  </si>
  <si>
    <t>Miscellaneous Cash Flow Adjustments</t>
  </si>
  <si>
    <t>Net Cash Flow</t>
  </si>
  <si>
    <t>Free Cash Flow</t>
  </si>
  <si>
    <t>Free Cash Flow Growth</t>
  </si>
  <si>
    <t>Free Cash Flow Margin</t>
  </si>
  <si>
    <t>Free Cash Flow Per Share</t>
  </si>
  <si>
    <t>Cash Interest Paid</t>
  </si>
  <si>
    <t>Cash Income Tax Paid</t>
  </si>
  <si>
    <t>Levered Free Cash Flow</t>
  </si>
  <si>
    <t>Unlevered Free Cash Flow</t>
  </si>
  <si>
    <t>Change in Working Capital</t>
  </si>
  <si>
    <t xml:space="preserve">Cash and cash equivalent at beginning </t>
  </si>
  <si>
    <t xml:space="preserve">Cash and cash equivalent at end </t>
  </si>
  <si>
    <t>Segment-wise Sales Revenue:</t>
  </si>
  <si>
    <t>Revenue Segment (Local + Export)</t>
  </si>
  <si>
    <t>Freezer, Refrigerator &amp; Compressor</t>
  </si>
  <si>
    <t>Air Conditioner</t>
  </si>
  <si>
    <t>Television</t>
  </si>
  <si>
    <t>Electrical Appliances (EAP)</t>
  </si>
  <si>
    <t>Home Appliances (HAP)</t>
  </si>
  <si>
    <t>Elevator</t>
  </si>
  <si>
    <t>Cable</t>
  </si>
  <si>
    <t>Service Parts</t>
  </si>
  <si>
    <t>Others (Mold, Die, Screw, Nut &amp; Bolt)</t>
  </si>
  <si>
    <t>Total (before VAT)</t>
  </si>
  <si>
    <t>Less: VAT</t>
  </si>
  <si>
    <t>Total (after VAT)</t>
  </si>
  <si>
    <t>Breakdown of Yearly Sales Revenue:</t>
  </si>
  <si>
    <t>Revenue Segment</t>
  </si>
  <si>
    <t>2019 
Local Sales (Net)</t>
  </si>
  <si>
    <t>2019 
Export Sales</t>
  </si>
  <si>
    <t>2019 
Total Sales</t>
  </si>
  <si>
    <t>2020 
Local Sales (Net)</t>
  </si>
  <si>
    <t>2020 
Export Sales</t>
  </si>
  <si>
    <t>2020 
Total Sales</t>
  </si>
  <si>
    <t>2021 
Local Sales (Net)</t>
  </si>
  <si>
    <t>2021 
Export Sales</t>
  </si>
  <si>
    <t>2021 
Total Sales</t>
  </si>
  <si>
    <t>2022 
Local Sales (Net)</t>
  </si>
  <si>
    <t>2022 
Export Sales</t>
  </si>
  <si>
    <t>2022 
Total Sales</t>
  </si>
  <si>
    <t>2023 
Local Sales (Net)</t>
  </si>
  <si>
    <t>2023 
Export Sales</t>
  </si>
  <si>
    <t>2023 
Total Sales</t>
  </si>
  <si>
    <t>2024 
Local Sales (Net)</t>
  </si>
  <si>
    <t>2024 
Export Sales</t>
  </si>
  <si>
    <t>2024 
Total Sales</t>
  </si>
  <si>
    <t>2025
 Local Sales (Net)</t>
  </si>
  <si>
    <t>2025 
Export Sales</t>
  </si>
  <si>
    <t>2025 
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</si>
</sst>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15803D"/>
      <name val="Calibri"/>
      <family val="2"/>
    </font>
    <font>
      <sz val="11"/>
      <color rgb="FFDC262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0" borderId="3" xfId="0" applyFont="1" applyBorder="1"/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left"/>
    </xf>
    <xf numFmtId="0" fontId="4" fillId="2" borderId="0" xfId="0" applyFont="1" applyFill="1" applyAlignment="1">
      <alignment wrapText="1"/>
    </xf>
    <xf numFmtId="0" fontId="4" fillId="2" borderId="0" xfId="0" applyFont="1" applyFill="1"/>
    <xf numFmtId="38" fontId="3" fillId="0" borderId="0" xfId="0" applyNumberFormat="1" applyFont="1"/>
    <xf numFmtId="38" fontId="2" fillId="0" borderId="0" xfId="0" applyNumberFormat="1" applyFont="1"/>
    <xf numFmtId="3" fontId="3" fillId="0" borderId="0" xfId="0" applyNumberFormat="1" applyFont="1"/>
    <xf numFmtId="40" fontId="3" fillId="0" borderId="0" xfId="0" applyNumberFormat="1" applyFont="1"/>
    <xf numFmtId="38" fontId="3" fillId="3" borderId="0" xfId="0" applyNumberFormat="1" applyFont="1" applyFill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wrapText="1"/>
    </xf>
    <xf numFmtId="38" fontId="2" fillId="3" borderId="0" xfId="0" applyNumberFormat="1" applyFont="1" applyFill="1"/>
    <xf numFmtId="3" fontId="3" fillId="0" borderId="0" xfId="0" applyNumberFormat="1" applyFont="1" applyAlignment="1">
      <alignment horizontal="right" vertical="center"/>
    </xf>
    <xf numFmtId="2" fontId="3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5" fontId="4" fillId="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center" wrapText="1"/>
    </xf>
    <xf numFmtId="0" fontId="3" fillId="0" borderId="0" xfId="0" applyFont="1" applyAlignment="1">
      <alignment horizontal="left" indent="1"/>
    </xf>
    <xf numFmtId="164" fontId="3" fillId="0" borderId="0" xfId="1" applyNumberFormat="1" applyFont="1"/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164" fontId="2" fillId="0" borderId="0" xfId="1" applyNumberFormat="1" applyFont="1"/>
    <xf numFmtId="0" fontId="4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wrapText="1"/>
    </xf>
    <xf numFmtId="164" fontId="3" fillId="0" borderId="4" xfId="1" applyNumberFormat="1" applyFont="1" applyBorder="1" applyAlignment="1">
      <alignment wrapText="1"/>
    </xf>
    <xf numFmtId="164" fontId="3" fillId="0" borderId="0" xfId="1" applyNumberFormat="1" applyFont="1" applyBorder="1"/>
    <xf numFmtId="164" fontId="3" fillId="0" borderId="4" xfId="1" applyNumberFormat="1" applyFont="1" applyBorder="1"/>
    <xf numFmtId="164" fontId="3" fillId="0" borderId="3" xfId="1" applyNumberFormat="1" applyFont="1" applyBorder="1"/>
    <xf numFmtId="0" fontId="3" fillId="0" borderId="0" xfId="0" applyFont="1" applyAlignment="1">
      <alignment horizontal="left" wrapText="1"/>
    </xf>
    <xf numFmtId="164" fontId="2" fillId="0" borderId="0" xfId="1" applyNumberFormat="1" applyFont="1" applyBorder="1" applyAlignment="1">
      <alignment wrapText="1"/>
    </xf>
    <xf numFmtId="164" fontId="2" fillId="0" borderId="4" xfId="1" applyNumberFormat="1" applyFont="1" applyBorder="1" applyAlignment="1">
      <alignment wrapText="1"/>
    </xf>
    <xf numFmtId="164" fontId="2" fillId="0" borderId="0" xfId="1" applyNumberFormat="1" applyFont="1" applyBorder="1"/>
    <xf numFmtId="164" fontId="2" fillId="0" borderId="4" xfId="1" applyNumberFormat="1" applyFont="1" applyBorder="1"/>
    <xf numFmtId="164" fontId="2" fillId="0" borderId="3" xfId="1" applyNumberFormat="1" applyFont="1" applyBorder="1"/>
    <xf numFmtId="165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482B-8A69-4CDF-A8AE-0DBAACDB9913}">
  <dimension ref="B2:W218"/>
  <sheetViews>
    <sheetView showGridLines="0" tabSelected="1" workbookViewId="0">
      <selection activeCell="D5" sqref="D5"/>
    </sheetView>
  </sheetViews>
  <sheetFormatPr defaultColWidth="8.7265625" defaultRowHeight="14.5" x14ac:dyDescent="0.35"/>
  <cols>
    <col min="1" max="1" width="2.1796875" style="3" customWidth="1"/>
    <col min="2" max="2" width="39.81640625" style="8" customWidth="1"/>
    <col min="3" max="3" width="28.54296875" style="3" customWidth="1"/>
    <col min="4" max="4" width="15.54296875" style="3" bestFit="1" customWidth="1"/>
    <col min="5" max="6" width="17" style="3" bestFit="1" customWidth="1"/>
    <col min="7" max="7" width="15.54296875" style="3" bestFit="1" customWidth="1"/>
    <col min="8" max="8" width="17" style="3" bestFit="1" customWidth="1"/>
    <col min="9" max="9" width="17.54296875" style="3" bestFit="1" customWidth="1"/>
    <col min="10" max="10" width="16.54296875" style="3" bestFit="1" customWidth="1"/>
    <col min="11" max="11" width="17.54296875" style="3" bestFit="1" customWidth="1"/>
    <col min="12" max="12" width="15.81640625" style="3" customWidth="1"/>
    <col min="13" max="13" width="16.54296875" style="3" bestFit="1" customWidth="1"/>
    <col min="14" max="14" width="17.54296875" style="3" customWidth="1"/>
    <col min="15" max="15" width="15.453125" style="3" customWidth="1"/>
    <col min="16" max="16" width="16.54296875" style="3" bestFit="1" customWidth="1"/>
    <col min="17" max="17" width="17.54296875" style="3" bestFit="1" customWidth="1"/>
    <col min="18" max="18" width="15.1796875" style="3" customWidth="1"/>
    <col min="19" max="19" width="12.54296875" style="3" bestFit="1" customWidth="1"/>
    <col min="20" max="20" width="17.54296875" style="3" bestFit="1" customWidth="1"/>
    <col min="21" max="21" width="15.81640625" style="3" customWidth="1"/>
    <col min="22" max="22" width="12.1796875" style="3" customWidth="1"/>
    <col min="23" max="23" width="17.54296875" style="3" bestFit="1" customWidth="1"/>
    <col min="24" max="16384" width="8.7265625" style="3"/>
  </cols>
  <sheetData>
    <row r="2" spans="2:9" x14ac:dyDescent="0.35">
      <c r="B2" s="1" t="s">
        <v>0</v>
      </c>
      <c r="C2" s="2" t="s">
        <v>1</v>
      </c>
      <c r="F2" s="4"/>
      <c r="G2" s="5"/>
    </row>
    <row r="3" spans="2:9" x14ac:dyDescent="0.35">
      <c r="B3" s="6" t="s">
        <v>2</v>
      </c>
      <c r="C3" s="7" t="s">
        <v>3</v>
      </c>
      <c r="F3" s="8"/>
    </row>
    <row r="4" spans="2:9" x14ac:dyDescent="0.35">
      <c r="B4" s="9" t="s">
        <v>4</v>
      </c>
      <c r="C4" s="7" t="s">
        <v>5</v>
      </c>
      <c r="F4" s="8"/>
    </row>
    <row r="5" spans="2:9" x14ac:dyDescent="0.35">
      <c r="B5" s="9" t="s">
        <v>6</v>
      </c>
      <c r="C5" s="7" t="s">
        <v>7</v>
      </c>
      <c r="F5" s="8"/>
      <c r="G5" s="10"/>
    </row>
    <row r="6" spans="2:9" x14ac:dyDescent="0.35">
      <c r="B6" s="9" t="s">
        <v>8</v>
      </c>
      <c r="C6" s="7" t="s">
        <v>9</v>
      </c>
      <c r="F6" s="8"/>
      <c r="G6" s="11"/>
    </row>
    <row r="7" spans="2:9" x14ac:dyDescent="0.35">
      <c r="B7" s="9" t="s">
        <v>10</v>
      </c>
      <c r="C7" s="7">
        <v>10</v>
      </c>
      <c r="F7" s="8"/>
      <c r="G7" s="11"/>
    </row>
    <row r="8" spans="2:9" x14ac:dyDescent="0.35">
      <c r="B8" s="6" t="s">
        <v>11</v>
      </c>
      <c r="C8" s="7">
        <v>376.6</v>
      </c>
      <c r="F8" s="8"/>
      <c r="G8" s="11"/>
    </row>
    <row r="9" spans="2:9" x14ac:dyDescent="0.35">
      <c r="B9" s="9" t="s">
        <v>12</v>
      </c>
      <c r="C9" s="7">
        <v>126057.571</v>
      </c>
      <c r="F9" s="8"/>
      <c r="G9" s="12"/>
    </row>
    <row r="10" spans="2:9" x14ac:dyDescent="0.35">
      <c r="B10" s="13" t="s">
        <v>13</v>
      </c>
      <c r="C10" s="14">
        <v>333221177</v>
      </c>
    </row>
    <row r="11" spans="2:9" x14ac:dyDescent="0.35">
      <c r="C11" s="10"/>
    </row>
    <row r="12" spans="2:9" x14ac:dyDescent="0.35">
      <c r="B12" s="4" t="s">
        <v>14</v>
      </c>
    </row>
    <row r="13" spans="2:9" x14ac:dyDescent="0.35">
      <c r="B13" s="15" t="s">
        <v>15</v>
      </c>
      <c r="C13" s="16">
        <v>2019</v>
      </c>
      <c r="D13" s="16">
        <v>2020</v>
      </c>
      <c r="E13" s="16">
        <v>2021</v>
      </c>
      <c r="F13" s="16">
        <v>2022</v>
      </c>
      <c r="G13" s="16">
        <v>2023</v>
      </c>
      <c r="H13" s="16">
        <v>2024</v>
      </c>
      <c r="I13" s="16">
        <v>2025</v>
      </c>
    </row>
    <row r="14" spans="2:9" x14ac:dyDescent="0.35">
      <c r="B14" s="8" t="s">
        <v>16</v>
      </c>
      <c r="C14" s="17">
        <v>51773237116</v>
      </c>
      <c r="D14" s="17">
        <v>41079248267</v>
      </c>
      <c r="E14" s="17">
        <v>69949925813</v>
      </c>
      <c r="F14" s="17">
        <v>81681681284</v>
      </c>
      <c r="G14" s="17">
        <v>66374271405</v>
      </c>
      <c r="H14" s="17">
        <v>75121154616</v>
      </c>
      <c r="I14" s="17">
        <v>70822475704</v>
      </c>
    </row>
    <row r="15" spans="2:9" x14ac:dyDescent="0.35">
      <c r="B15" s="8" t="s">
        <v>17</v>
      </c>
      <c r="C15" s="17">
        <v>25277241920</v>
      </c>
      <c r="D15" s="17">
        <v>27803538581</v>
      </c>
      <c r="E15" s="17">
        <v>34270695635</v>
      </c>
      <c r="F15" s="17">
        <v>54876142790</v>
      </c>
      <c r="G15" s="17">
        <v>27467893812</v>
      </c>
      <c r="H15" s="17">
        <v>35248800151</v>
      </c>
      <c r="I15" s="17">
        <v>40996136389</v>
      </c>
    </row>
    <row r="16" spans="2:9" x14ac:dyDescent="0.35">
      <c r="B16" s="8" t="s">
        <v>18</v>
      </c>
      <c r="C16" s="17">
        <v>30805628408</v>
      </c>
      <c r="D16" s="17">
        <v>25423508810</v>
      </c>
      <c r="E16" s="17">
        <v>43515489526</v>
      </c>
      <c r="F16" s="17">
        <v>55146823463</v>
      </c>
      <c r="G16" s="17">
        <v>43022875679</v>
      </c>
      <c r="H16" s="17">
        <v>46473228347</v>
      </c>
      <c r="I16" s="17">
        <v>45291678432</v>
      </c>
    </row>
    <row r="17" spans="2:13" x14ac:dyDescent="0.35">
      <c r="B17" s="4" t="s">
        <v>19</v>
      </c>
      <c r="C17" s="18">
        <v>20967608708</v>
      </c>
      <c r="D17" s="18">
        <v>15655739458</v>
      </c>
      <c r="E17" s="18">
        <v>26434436287</v>
      </c>
      <c r="F17" s="18">
        <v>26534857821</v>
      </c>
      <c r="G17" s="18">
        <v>23351395726</v>
      </c>
      <c r="H17" s="18">
        <v>28647926269</v>
      </c>
      <c r="I17" s="18">
        <v>25530797272</v>
      </c>
      <c r="J17" s="17"/>
    </row>
    <row r="18" spans="2:13" x14ac:dyDescent="0.35">
      <c r="B18" s="4" t="s">
        <v>20</v>
      </c>
      <c r="C18" s="18">
        <v>4067567881</v>
      </c>
      <c r="D18" s="18">
        <v>4652465206</v>
      </c>
      <c r="E18" s="18">
        <v>7089112340</v>
      </c>
      <c r="F18" s="18">
        <v>9184521666</v>
      </c>
      <c r="G18" s="18">
        <v>7782901962</v>
      </c>
      <c r="H18" s="18">
        <v>9850900444</v>
      </c>
      <c r="I18" s="18">
        <v>10709513504</v>
      </c>
    </row>
    <row r="19" spans="2:13" x14ac:dyDescent="0.35">
      <c r="B19" s="8" t="s">
        <v>21</v>
      </c>
      <c r="C19" s="17">
        <v>3239850530</v>
      </c>
      <c r="D19" s="17">
        <v>3602364329</v>
      </c>
      <c r="E19" s="17">
        <v>6004705364</v>
      </c>
      <c r="F19" s="17">
        <v>7795190297</v>
      </c>
      <c r="G19" s="17">
        <v>6409291118</v>
      </c>
      <c r="H19" s="17">
        <v>8293518089</v>
      </c>
      <c r="I19" s="17">
        <v>9014387103</v>
      </c>
    </row>
    <row r="20" spans="2:13" x14ac:dyDescent="0.35">
      <c r="B20" s="8" t="s">
        <v>22</v>
      </c>
      <c r="C20" s="17">
        <v>827617351</v>
      </c>
      <c r="D20" s="17">
        <v>1050100877</v>
      </c>
      <c r="E20" s="17">
        <v>1084406976</v>
      </c>
      <c r="F20" s="17">
        <v>1389331369</v>
      </c>
      <c r="G20" s="17">
        <v>1373610844</v>
      </c>
      <c r="H20" s="17">
        <v>1557382355</v>
      </c>
      <c r="I20" s="17">
        <v>1695126401</v>
      </c>
    </row>
    <row r="21" spans="2:13" x14ac:dyDescent="0.35">
      <c r="B21" s="8" t="s">
        <v>23</v>
      </c>
      <c r="C21" s="17">
        <v>1331810588</v>
      </c>
      <c r="D21" s="17">
        <v>1541134096</v>
      </c>
      <c r="E21" s="17">
        <v>1676106067</v>
      </c>
      <c r="F21" s="17">
        <v>1924661890</v>
      </c>
      <c r="G21" s="17">
        <v>2141649331</v>
      </c>
      <c r="H21" s="17">
        <v>2508935876</v>
      </c>
      <c r="I21" s="17">
        <v>2952947737</v>
      </c>
    </row>
    <row r="22" spans="2:13" x14ac:dyDescent="0.35">
      <c r="B22" s="8" t="s">
        <v>24</v>
      </c>
      <c r="C22" s="17">
        <v>18065970</v>
      </c>
      <c r="D22" s="17">
        <v>16341394</v>
      </c>
      <c r="E22" s="17">
        <v>11509797</v>
      </c>
      <c r="F22" s="17">
        <v>3946229</v>
      </c>
      <c r="G22" s="17">
        <v>5325234</v>
      </c>
      <c r="H22" s="17">
        <v>7022841</v>
      </c>
      <c r="I22" s="17">
        <v>7863317</v>
      </c>
    </row>
    <row r="23" spans="2:13" x14ac:dyDescent="0.35">
      <c r="B23" s="4" t="s">
        <v>25</v>
      </c>
      <c r="C23" s="18">
        <v>16900040827</v>
      </c>
      <c r="D23" s="18">
        <v>11003274252</v>
      </c>
      <c r="E23" s="18">
        <v>19345323947</v>
      </c>
      <c r="F23" s="18">
        <v>17350336155</v>
      </c>
      <c r="G23" s="18">
        <v>15571493764</v>
      </c>
      <c r="H23" s="18">
        <v>18797025825</v>
      </c>
      <c r="I23" s="18">
        <v>14821283768</v>
      </c>
      <c r="J23" s="17"/>
    </row>
    <row r="24" spans="2:13" x14ac:dyDescent="0.35">
      <c r="B24" s="8" t="s">
        <v>26</v>
      </c>
      <c r="C24" s="17" t="s">
        <v>27</v>
      </c>
      <c r="D24" s="17" t="s">
        <v>27</v>
      </c>
      <c r="E24" s="17">
        <v>84330796</v>
      </c>
      <c r="F24" s="17">
        <v>79765294</v>
      </c>
      <c r="G24" s="17" t="s">
        <v>27</v>
      </c>
      <c r="H24" s="17" t="s">
        <v>27</v>
      </c>
      <c r="I24" s="17"/>
    </row>
    <row r="25" spans="2:13" x14ac:dyDescent="0.35">
      <c r="B25" s="8" t="s">
        <v>28</v>
      </c>
      <c r="C25" s="17">
        <v>98108941</v>
      </c>
      <c r="D25" s="17">
        <v>-13131240</v>
      </c>
      <c r="E25" s="17">
        <v>511456412</v>
      </c>
      <c r="F25" s="17">
        <v>270571805</v>
      </c>
      <c r="G25" s="17">
        <v>201930120</v>
      </c>
      <c r="H25" s="17">
        <v>-94598252</v>
      </c>
      <c r="I25" s="17">
        <v>266614954</v>
      </c>
      <c r="M25" s="19"/>
    </row>
    <row r="26" spans="2:13" x14ac:dyDescent="0.35">
      <c r="B26" s="8" t="s">
        <v>29</v>
      </c>
      <c r="C26" s="17" t="s">
        <v>27</v>
      </c>
      <c r="D26" s="17" t="s">
        <v>27</v>
      </c>
      <c r="E26" s="17" t="s">
        <v>27</v>
      </c>
      <c r="F26" s="17" t="s">
        <v>27</v>
      </c>
      <c r="G26" s="17">
        <v>32175044</v>
      </c>
      <c r="H26" s="17">
        <v>171221879</v>
      </c>
      <c r="I26" s="17">
        <v>290334678</v>
      </c>
      <c r="K26" s="19"/>
    </row>
    <row r="27" spans="2:13" x14ac:dyDescent="0.35">
      <c r="B27" s="8" t="s">
        <v>30</v>
      </c>
      <c r="C27" s="17">
        <v>1493855820</v>
      </c>
      <c r="D27" s="17">
        <v>2243549865</v>
      </c>
      <c r="E27" s="17">
        <v>1245679758</v>
      </c>
      <c r="F27" s="17">
        <v>4738325106</v>
      </c>
      <c r="G27" s="17">
        <v>7535855991</v>
      </c>
      <c r="H27" s="17">
        <v>4591235836</v>
      </c>
      <c r="I27" s="17">
        <v>4484038732</v>
      </c>
    </row>
    <row r="28" spans="2:13" x14ac:dyDescent="0.35">
      <c r="B28" s="4" t="s">
        <v>31</v>
      </c>
      <c r="C28" s="18">
        <v>15504373948</v>
      </c>
      <c r="D28" s="18">
        <v>8746593145</v>
      </c>
      <c r="E28" s="18">
        <v>18695434397</v>
      </c>
      <c r="F28" s="18">
        <v>12962348148</v>
      </c>
      <c r="G28" s="18">
        <v>8269742937</v>
      </c>
      <c r="H28" s="18">
        <v>14282421616</v>
      </c>
      <c r="I28" s="18">
        <v>10894194667</v>
      </c>
      <c r="J28" s="17"/>
    </row>
    <row r="29" spans="2:13" x14ac:dyDescent="0.35">
      <c r="B29" s="8" t="s">
        <v>32</v>
      </c>
      <c r="C29" s="17">
        <v>738303521</v>
      </c>
      <c r="D29" s="17">
        <v>416504436</v>
      </c>
      <c r="E29" s="17">
        <v>890258781</v>
      </c>
      <c r="F29" s="17">
        <v>617254674</v>
      </c>
      <c r="G29" s="17">
        <v>393654464</v>
      </c>
      <c r="H29" s="17">
        <v>680115315</v>
      </c>
      <c r="I29" s="17">
        <v>518771175</v>
      </c>
    </row>
    <row r="30" spans="2:13" x14ac:dyDescent="0.35">
      <c r="B30" s="4" t="s">
        <v>33</v>
      </c>
      <c r="C30" s="18">
        <v>14766070427</v>
      </c>
      <c r="D30" s="18">
        <v>8330088710</v>
      </c>
      <c r="E30" s="18">
        <v>17805175616</v>
      </c>
      <c r="F30" s="18">
        <v>12345093474</v>
      </c>
      <c r="G30" s="18">
        <v>7876088473</v>
      </c>
      <c r="H30" s="18">
        <v>13602306301</v>
      </c>
      <c r="I30" s="18">
        <v>10375423492</v>
      </c>
      <c r="J30" s="17"/>
    </row>
    <row r="31" spans="2:13" x14ac:dyDescent="0.35">
      <c r="B31" s="4" t="s">
        <v>34</v>
      </c>
      <c r="C31" s="18">
        <v>-1004931824</v>
      </c>
      <c r="D31" s="18">
        <v>-1065594991</v>
      </c>
      <c r="E31" s="18">
        <v>-1413136905</v>
      </c>
      <c r="F31" s="18">
        <v>-178942918</v>
      </c>
      <c r="G31" s="18">
        <v>-46309266</v>
      </c>
      <c r="H31" s="18">
        <v>-37046974</v>
      </c>
      <c r="I31" s="18">
        <v>-9263129</v>
      </c>
    </row>
    <row r="32" spans="2:13" x14ac:dyDescent="0.35">
      <c r="B32" s="8" t="s">
        <v>35</v>
      </c>
      <c r="C32" s="17">
        <v>848151353</v>
      </c>
      <c r="D32" s="17">
        <v>-744892973</v>
      </c>
      <c r="E32" s="17">
        <v>-2154739525</v>
      </c>
      <c r="F32" s="17">
        <v>-65269058</v>
      </c>
      <c r="G32" s="17">
        <v>-47752505</v>
      </c>
      <c r="H32" s="17">
        <v>-57026659</v>
      </c>
      <c r="I32" s="17">
        <v>-10227195</v>
      </c>
    </row>
    <row r="33" spans="2:10" x14ac:dyDescent="0.35">
      <c r="B33" s="8" t="s">
        <v>36</v>
      </c>
      <c r="C33" s="17">
        <v>156780471</v>
      </c>
      <c r="D33" s="17">
        <v>-320702019</v>
      </c>
      <c r="E33" s="17">
        <v>741602620</v>
      </c>
      <c r="F33" s="17">
        <v>-113673860</v>
      </c>
      <c r="G33" s="17">
        <v>1443239</v>
      </c>
      <c r="H33" s="17">
        <v>19979685</v>
      </c>
      <c r="I33" s="17">
        <v>964067</v>
      </c>
    </row>
    <row r="34" spans="2:10" x14ac:dyDescent="0.35">
      <c r="B34" s="4" t="s">
        <v>37</v>
      </c>
      <c r="C34" s="18">
        <v>13761138603</v>
      </c>
      <c r="D34" s="18">
        <v>7264493719</v>
      </c>
      <c r="E34" s="18">
        <v>16392038712</v>
      </c>
      <c r="F34" s="18">
        <v>12166150557</v>
      </c>
      <c r="G34" s="18">
        <v>7826780005</v>
      </c>
      <c r="H34" s="18">
        <v>13565259327</v>
      </c>
      <c r="I34" s="18">
        <v>10366160364</v>
      </c>
      <c r="J34" s="17"/>
    </row>
    <row r="35" spans="2:10" x14ac:dyDescent="0.35">
      <c r="B35" s="8" t="s">
        <v>38</v>
      </c>
      <c r="C35" s="20">
        <v>45.67</v>
      </c>
      <c r="D35" s="20">
        <v>24.21</v>
      </c>
      <c r="E35" s="20">
        <v>54.11</v>
      </c>
      <c r="F35" s="20">
        <v>40.159999999999997</v>
      </c>
      <c r="G35" s="20">
        <v>25.84</v>
      </c>
      <c r="H35" s="20">
        <v>44.78</v>
      </c>
      <c r="I35" s="20">
        <v>34.22</v>
      </c>
    </row>
    <row r="36" spans="2:10" x14ac:dyDescent="0.35">
      <c r="C36" s="20"/>
      <c r="D36" s="20"/>
      <c r="E36" s="20"/>
      <c r="F36" s="20"/>
      <c r="G36" s="20"/>
      <c r="H36" s="20"/>
      <c r="I36" s="20"/>
    </row>
    <row r="37" spans="2:10" x14ac:dyDescent="0.35">
      <c r="C37" s="20"/>
      <c r="D37" s="20"/>
      <c r="E37" s="20"/>
      <c r="F37" s="20"/>
      <c r="G37" s="20"/>
      <c r="H37" s="20"/>
    </row>
    <row r="38" spans="2:10" x14ac:dyDescent="0.35">
      <c r="B38" s="4" t="s">
        <v>39</v>
      </c>
      <c r="C38" s="20"/>
      <c r="D38" s="20"/>
      <c r="E38" s="20"/>
      <c r="F38" s="20"/>
      <c r="G38" s="20"/>
      <c r="H38" s="20"/>
    </row>
    <row r="39" spans="2:10" x14ac:dyDescent="0.35">
      <c r="B39" s="15" t="s">
        <v>15</v>
      </c>
      <c r="C39" s="16">
        <v>2019</v>
      </c>
      <c r="D39" s="16">
        <v>2020</v>
      </c>
      <c r="E39" s="16">
        <v>2021</v>
      </c>
      <c r="F39" s="16">
        <v>2022</v>
      </c>
      <c r="G39" s="16">
        <v>2023</v>
      </c>
      <c r="H39" s="16">
        <v>2024</v>
      </c>
      <c r="I39" s="16">
        <v>2025</v>
      </c>
    </row>
    <row r="40" spans="2:10" x14ac:dyDescent="0.35">
      <c r="B40" s="8" t="s">
        <v>40</v>
      </c>
      <c r="C40" s="17">
        <v>57575574816</v>
      </c>
      <c r="D40" s="17">
        <v>59712087153</v>
      </c>
      <c r="E40" s="17">
        <v>62295280025</v>
      </c>
      <c r="F40" s="17">
        <v>65475136944</v>
      </c>
      <c r="G40" s="17">
        <v>68824874693</v>
      </c>
      <c r="H40" s="17">
        <v>70863873952</v>
      </c>
      <c r="I40" s="17">
        <v>77180420324</v>
      </c>
    </row>
    <row r="41" spans="2:10" x14ac:dyDescent="0.35">
      <c r="B41" s="8" t="s">
        <v>41</v>
      </c>
      <c r="C41" s="17">
        <v>29332786</v>
      </c>
      <c r="D41" s="17">
        <v>23040791</v>
      </c>
      <c r="E41" s="17">
        <v>13362588</v>
      </c>
      <c r="F41" s="17">
        <v>13053850</v>
      </c>
      <c r="G41" s="17">
        <v>19217454</v>
      </c>
      <c r="H41" s="17">
        <v>16019226</v>
      </c>
      <c r="I41" s="17">
        <v>46082639</v>
      </c>
    </row>
    <row r="42" spans="2:10" x14ac:dyDescent="0.35">
      <c r="B42" s="8" t="s">
        <v>42</v>
      </c>
      <c r="C42" s="17" t="s">
        <v>27</v>
      </c>
      <c r="D42" s="17" t="s">
        <v>27</v>
      </c>
      <c r="E42" s="17" t="s">
        <v>27</v>
      </c>
      <c r="F42" s="17">
        <v>207685994</v>
      </c>
      <c r="G42" s="17">
        <v>213136270</v>
      </c>
      <c r="H42" s="17">
        <v>201866955</v>
      </c>
      <c r="I42" s="17">
        <v>211722011</v>
      </c>
    </row>
    <row r="43" spans="2:10" x14ac:dyDescent="0.35">
      <c r="B43" s="8" t="s">
        <v>43</v>
      </c>
      <c r="C43" s="17">
        <v>2131266850</v>
      </c>
      <c r="D43" s="17">
        <v>3771797260</v>
      </c>
      <c r="E43" s="17">
        <v>3943802332</v>
      </c>
      <c r="F43" s="17">
        <v>6446187658</v>
      </c>
      <c r="G43" s="17">
        <v>7351736250</v>
      </c>
      <c r="H43" s="17">
        <v>7437964575</v>
      </c>
      <c r="I43" s="17">
        <v>7247599337</v>
      </c>
    </row>
    <row r="44" spans="2:10" x14ac:dyDescent="0.35">
      <c r="B44" s="8" t="s">
        <v>44</v>
      </c>
      <c r="C44" s="17">
        <v>494171979</v>
      </c>
      <c r="D44" s="17">
        <v>594806302</v>
      </c>
      <c r="F44" s="17" t="s">
        <v>27</v>
      </c>
      <c r="G44" s="17" t="s">
        <v>27</v>
      </c>
      <c r="H44" s="17" t="s">
        <v>27</v>
      </c>
      <c r="I44" s="17"/>
    </row>
    <row r="45" spans="2:10" x14ac:dyDescent="0.35">
      <c r="B45" s="4" t="s">
        <v>45</v>
      </c>
      <c r="C45" s="18">
        <v>60230346423</v>
      </c>
      <c r="D45" s="18">
        <v>64101851526</v>
      </c>
      <c r="E45" s="18">
        <v>66252444945</v>
      </c>
      <c r="F45" s="18">
        <v>72142064446</v>
      </c>
      <c r="G45" s="18">
        <v>76408964667</v>
      </c>
      <c r="H45" s="18">
        <v>78519724708</v>
      </c>
      <c r="I45" s="18">
        <v>84685824311</v>
      </c>
    </row>
    <row r="46" spans="2:10" x14ac:dyDescent="0.35">
      <c r="B46" s="8" t="s">
        <v>46</v>
      </c>
      <c r="C46" s="17">
        <v>13530290769</v>
      </c>
      <c r="D46" s="17">
        <v>21833256222</v>
      </c>
      <c r="E46" s="17">
        <v>24130561864</v>
      </c>
      <c r="F46" s="21">
        <v>36197619159</v>
      </c>
      <c r="G46" s="17">
        <v>25573533341</v>
      </c>
      <c r="H46" s="17">
        <v>26182663525</v>
      </c>
      <c r="I46" s="17">
        <v>29648739753</v>
      </c>
    </row>
    <row r="47" spans="2:10" x14ac:dyDescent="0.35">
      <c r="B47" s="22" t="s">
        <v>47</v>
      </c>
      <c r="D47" s="23">
        <v>23432843592</v>
      </c>
      <c r="E47" s="23">
        <v>32828073635</v>
      </c>
      <c r="F47" s="23">
        <v>41846214575</v>
      </c>
      <c r="G47" s="23">
        <v>34608612021</v>
      </c>
      <c r="H47" s="23">
        <v>37153106717</v>
      </c>
      <c r="I47" s="23">
        <v>35562922175</v>
      </c>
    </row>
    <row r="48" spans="2:10" x14ac:dyDescent="0.35">
      <c r="B48" s="22" t="s">
        <v>48</v>
      </c>
      <c r="D48" s="23">
        <v>28119857</v>
      </c>
      <c r="E48" s="23">
        <v>53861380</v>
      </c>
      <c r="F48" s="23">
        <v>47964310</v>
      </c>
      <c r="G48" s="23">
        <v>66336365</v>
      </c>
      <c r="H48" s="23">
        <v>93522952</v>
      </c>
      <c r="I48" s="23">
        <v>503317824</v>
      </c>
    </row>
    <row r="49" spans="2:14" x14ac:dyDescent="0.35">
      <c r="B49" s="4" t="s">
        <v>49</v>
      </c>
      <c r="C49" s="18">
        <v>24478836553</v>
      </c>
      <c r="D49" s="18">
        <v>23863541822</v>
      </c>
      <c r="E49" s="18">
        <v>32881935015</v>
      </c>
      <c r="F49" s="24">
        <v>41894178885</v>
      </c>
      <c r="G49" s="18">
        <v>34674948386</v>
      </c>
      <c r="H49" s="18">
        <v>37246629669</v>
      </c>
      <c r="I49" s="18">
        <v>36066239999</v>
      </c>
    </row>
    <row r="50" spans="2:14" x14ac:dyDescent="0.35">
      <c r="B50" s="8" t="s">
        <v>50</v>
      </c>
      <c r="C50" s="17" t="s">
        <v>27</v>
      </c>
      <c r="D50" s="17" t="s">
        <v>27</v>
      </c>
      <c r="E50" s="17">
        <v>1106022865</v>
      </c>
      <c r="F50" s="21">
        <v>1186987977</v>
      </c>
      <c r="G50" s="17">
        <v>1033741904</v>
      </c>
      <c r="H50" s="17">
        <v>778283932</v>
      </c>
      <c r="I50" s="17">
        <v>365800204</v>
      </c>
    </row>
    <row r="51" spans="2:14" x14ac:dyDescent="0.35">
      <c r="B51" s="8" t="s">
        <v>51</v>
      </c>
      <c r="C51" s="17">
        <v>3574831967</v>
      </c>
      <c r="D51" s="17">
        <v>4438454103</v>
      </c>
      <c r="E51" s="17">
        <v>5008968072</v>
      </c>
      <c r="F51" s="21">
        <v>5536502855</v>
      </c>
      <c r="G51" s="17">
        <v>5517637114</v>
      </c>
      <c r="H51" s="17">
        <v>7671704651</v>
      </c>
      <c r="I51" s="17">
        <v>1486154474</v>
      </c>
      <c r="J51" s="25"/>
      <c r="K51" s="25"/>
      <c r="L51" s="25"/>
      <c r="M51" s="25"/>
      <c r="N51" s="25"/>
    </row>
    <row r="52" spans="2:14" x14ac:dyDescent="0.35">
      <c r="B52" s="8" t="s">
        <v>52</v>
      </c>
      <c r="C52" s="17">
        <v>582901194</v>
      </c>
      <c r="D52" s="17">
        <v>616911527</v>
      </c>
      <c r="E52" s="17">
        <v>1365549229</v>
      </c>
      <c r="F52" s="21">
        <v>278215010</v>
      </c>
      <c r="G52" s="17">
        <v>313513014</v>
      </c>
      <c r="H52" s="17">
        <v>305850540</v>
      </c>
      <c r="I52" s="17">
        <v>297320659</v>
      </c>
      <c r="J52" s="17"/>
      <c r="K52" s="17"/>
      <c r="L52" s="17"/>
      <c r="M52" s="17"/>
      <c r="N52" s="17"/>
    </row>
    <row r="53" spans="2:14" x14ac:dyDescent="0.35">
      <c r="B53" s="8" t="s">
        <v>53</v>
      </c>
      <c r="C53" s="17">
        <v>1029902851</v>
      </c>
      <c r="D53" s="17">
        <v>1466979290</v>
      </c>
      <c r="E53" s="17">
        <v>3703825657</v>
      </c>
      <c r="F53" s="21">
        <v>2321365628</v>
      </c>
      <c r="G53" s="17">
        <v>2417232161</v>
      </c>
      <c r="H53" s="17">
        <v>6547326350</v>
      </c>
      <c r="I53" s="17">
        <v>5065456980</v>
      </c>
    </row>
    <row r="54" spans="2:14" x14ac:dyDescent="0.35">
      <c r="B54" s="4" t="s">
        <v>54</v>
      </c>
      <c r="C54" s="18">
        <v>43197763333</v>
      </c>
      <c r="D54" s="18">
        <v>52219142964</v>
      </c>
      <c r="E54" s="18">
        <v>68196862702</v>
      </c>
      <c r="F54" s="18">
        <v>87414869514</v>
      </c>
      <c r="G54" s="18">
        <v>69530605920</v>
      </c>
      <c r="H54" s="18">
        <v>78732458667</v>
      </c>
      <c r="I54" s="18">
        <v>72929712069</v>
      </c>
    </row>
    <row r="55" spans="2:14" x14ac:dyDescent="0.35">
      <c r="B55" s="4" t="s">
        <v>55</v>
      </c>
      <c r="C55" s="18">
        <v>103428109756</v>
      </c>
      <c r="D55" s="18">
        <v>116421004490</v>
      </c>
      <c r="E55" s="18">
        <v>134449307647</v>
      </c>
      <c r="F55" s="24">
        <v>159556933960</v>
      </c>
      <c r="G55" s="18">
        <v>145939570587</v>
      </c>
      <c r="H55" s="24">
        <v>157252183375</v>
      </c>
      <c r="I55" s="18">
        <v>157615536380</v>
      </c>
    </row>
    <row r="56" spans="2:14" x14ac:dyDescent="0.35">
      <c r="B56" s="8" t="s">
        <v>56</v>
      </c>
      <c r="C56" s="17">
        <v>3000000000</v>
      </c>
      <c r="D56" s="17">
        <v>3000000000</v>
      </c>
      <c r="E56" s="17">
        <v>3029283430</v>
      </c>
      <c r="F56" s="17">
        <v>3029283430</v>
      </c>
      <c r="G56" s="17">
        <v>3029283430</v>
      </c>
      <c r="H56" s="17">
        <v>3029283430</v>
      </c>
      <c r="I56" s="17">
        <v>3029283430</v>
      </c>
    </row>
    <row r="57" spans="2:14" x14ac:dyDescent="0.35">
      <c r="B57" s="8" t="s">
        <v>57</v>
      </c>
      <c r="C57" s="17" t="s">
        <v>27</v>
      </c>
      <c r="D57" s="17" t="s">
        <v>27</v>
      </c>
      <c r="E57" s="17">
        <v>931683717</v>
      </c>
      <c r="F57" s="17">
        <v>931683717</v>
      </c>
      <c r="G57" s="17">
        <v>931683717</v>
      </c>
      <c r="H57" s="17">
        <v>931683717</v>
      </c>
      <c r="I57" s="17">
        <v>931683717</v>
      </c>
    </row>
    <row r="58" spans="2:14" x14ac:dyDescent="0.35">
      <c r="B58" s="8" t="s">
        <v>58</v>
      </c>
      <c r="C58" s="17">
        <v>31390563206</v>
      </c>
      <c r="D58" s="17">
        <v>31361505710</v>
      </c>
      <c r="E58" s="17">
        <v>31332448213</v>
      </c>
      <c r="F58" s="17">
        <v>31303390716</v>
      </c>
      <c r="G58" s="17">
        <v>30759669655</v>
      </c>
      <c r="H58" s="17">
        <v>30730612160</v>
      </c>
      <c r="I58" s="17">
        <v>33761916711</v>
      </c>
    </row>
    <row r="59" spans="2:14" x14ac:dyDescent="0.35">
      <c r="B59" s="8" t="s">
        <v>59</v>
      </c>
      <c r="C59" s="17">
        <v>38507504162</v>
      </c>
      <c r="D59" s="17">
        <v>44881055377</v>
      </c>
      <c r="E59" s="17">
        <v>59096490476</v>
      </c>
      <c r="F59" s="17">
        <v>66119942829</v>
      </c>
      <c r="G59" s="17">
        <v>69403503630</v>
      </c>
      <c r="H59" s="17">
        <v>80209560207</v>
      </c>
      <c r="I59" s="17">
        <v>83370439512</v>
      </c>
    </row>
    <row r="60" spans="2:14" x14ac:dyDescent="0.35">
      <c r="B60" s="8" t="s">
        <v>60</v>
      </c>
      <c r="C60" s="17" t="s">
        <v>27</v>
      </c>
      <c r="D60" s="17">
        <v>608657805</v>
      </c>
      <c r="E60" s="17" t="s">
        <v>27</v>
      </c>
      <c r="F60" s="17" t="s">
        <v>27</v>
      </c>
      <c r="G60" s="17" t="s">
        <v>27</v>
      </c>
      <c r="H60" s="17" t="s">
        <v>27</v>
      </c>
      <c r="I60" s="17"/>
    </row>
    <row r="61" spans="2:14" x14ac:dyDescent="0.35">
      <c r="B61" s="8" t="s">
        <v>61</v>
      </c>
      <c r="C61" s="17">
        <v>72978067368</v>
      </c>
      <c r="D61" s="17">
        <v>79952218892</v>
      </c>
      <c r="E61" s="17">
        <v>94389905836</v>
      </c>
      <c r="F61" s="17">
        <v>101384300692</v>
      </c>
      <c r="G61" s="17">
        <v>104124140432</v>
      </c>
      <c r="H61" s="17">
        <v>114901139514</v>
      </c>
      <c r="I61" s="17">
        <v>121093323370</v>
      </c>
    </row>
    <row r="62" spans="2:14" x14ac:dyDescent="0.35">
      <c r="B62" s="4" t="s">
        <v>62</v>
      </c>
      <c r="C62" s="18">
        <v>72978067368</v>
      </c>
      <c r="D62" s="18">
        <v>79952218892</v>
      </c>
      <c r="E62" s="18">
        <v>94389905836</v>
      </c>
      <c r="F62" s="18">
        <v>101384300692</v>
      </c>
      <c r="G62" s="18">
        <v>104124140432</v>
      </c>
      <c r="H62" s="18">
        <v>114901139514</v>
      </c>
      <c r="I62" s="18">
        <v>121093323370</v>
      </c>
    </row>
    <row r="63" spans="2:14" x14ac:dyDescent="0.35">
      <c r="B63" s="8" t="s">
        <v>63</v>
      </c>
      <c r="C63" s="17">
        <v>6194630678</v>
      </c>
      <c r="D63" s="17">
        <v>3944350940</v>
      </c>
      <c r="E63" s="17">
        <v>3413927312</v>
      </c>
      <c r="F63" s="17">
        <v>2584065883</v>
      </c>
      <c r="G63" s="17">
        <v>5144327566</v>
      </c>
      <c r="H63" s="21">
        <v>5784668868</v>
      </c>
      <c r="I63" s="17">
        <v>5625548221</v>
      </c>
    </row>
    <row r="64" spans="2:14" x14ac:dyDescent="0.35">
      <c r="B64" s="8" t="s">
        <v>64</v>
      </c>
      <c r="C64" s="17">
        <v>789268498</v>
      </c>
      <c r="D64" s="17">
        <v>1109970514</v>
      </c>
      <c r="E64" s="17">
        <v>365462144</v>
      </c>
      <c r="F64" s="17">
        <v>477683129</v>
      </c>
      <c r="G64" s="17">
        <v>989450580</v>
      </c>
      <c r="H64" s="21">
        <v>967146295</v>
      </c>
      <c r="I64" s="17">
        <v>2019404737</v>
      </c>
    </row>
    <row r="65" spans="2:14" x14ac:dyDescent="0.35">
      <c r="B65" s="8" t="s">
        <v>65</v>
      </c>
      <c r="C65" s="17" t="s">
        <v>27</v>
      </c>
      <c r="D65" s="17" t="s">
        <v>27</v>
      </c>
      <c r="E65" s="17" t="s">
        <v>27</v>
      </c>
      <c r="F65" s="17">
        <v>189487463</v>
      </c>
      <c r="G65" s="17">
        <v>196120077</v>
      </c>
      <c r="H65" s="21">
        <v>186957709</v>
      </c>
      <c r="I65" s="17">
        <v>199469372</v>
      </c>
    </row>
    <row r="66" spans="2:14" x14ac:dyDescent="0.35">
      <c r="B66" s="8" t="s">
        <v>66</v>
      </c>
      <c r="C66" s="17">
        <v>95004333</v>
      </c>
      <c r="D66" s="17">
        <v>185401084</v>
      </c>
      <c r="E66" s="17">
        <v>77603084</v>
      </c>
      <c r="F66" s="17">
        <v>57116262</v>
      </c>
      <c r="G66" s="17">
        <v>74329381</v>
      </c>
      <c r="H66" s="21">
        <v>74068576</v>
      </c>
      <c r="I66" s="17">
        <v>78824932</v>
      </c>
    </row>
    <row r="67" spans="2:14" x14ac:dyDescent="0.35">
      <c r="B67" s="4" t="s">
        <v>67</v>
      </c>
      <c r="C67" s="18">
        <v>7078903607</v>
      </c>
      <c r="D67" s="18">
        <v>5238722538</v>
      </c>
      <c r="E67" s="18">
        <v>3856992540</v>
      </c>
      <c r="F67" s="18">
        <v>3308352737</v>
      </c>
      <c r="G67" s="18">
        <v>6404227604</v>
      </c>
      <c r="H67" s="18">
        <v>7012841448</v>
      </c>
      <c r="I67" s="18">
        <v>7923247262</v>
      </c>
    </row>
    <row r="68" spans="2:14" x14ac:dyDescent="0.35">
      <c r="B68" s="8" t="s">
        <v>68</v>
      </c>
      <c r="C68" s="17">
        <v>876557103</v>
      </c>
      <c r="D68" s="17">
        <v>2274036392</v>
      </c>
      <c r="E68" s="17">
        <v>2923322846</v>
      </c>
      <c r="F68" s="17">
        <v>4581457210</v>
      </c>
      <c r="G68" s="17">
        <v>3058009690</v>
      </c>
      <c r="H68" s="17">
        <v>3630113554</v>
      </c>
      <c r="I68" s="17">
        <v>2403051804</v>
      </c>
    </row>
    <row r="69" spans="2:14" x14ac:dyDescent="0.35">
      <c r="B69" s="8" t="s">
        <v>69</v>
      </c>
      <c r="C69" s="17">
        <v>16370583014</v>
      </c>
      <c r="D69" s="17">
        <v>22482089404</v>
      </c>
      <c r="E69" s="17">
        <v>23879414713</v>
      </c>
      <c r="F69" s="17">
        <v>42659073516</v>
      </c>
      <c r="G69" s="17">
        <v>24096051506</v>
      </c>
      <c r="H69" s="17">
        <v>21243601979</v>
      </c>
      <c r="I69" s="17">
        <v>17883976956</v>
      </c>
      <c r="J69" s="23"/>
      <c r="K69" s="23"/>
      <c r="L69" s="23"/>
      <c r="M69" s="23"/>
      <c r="N69" s="23"/>
    </row>
    <row r="70" spans="2:14" ht="29" x14ac:dyDescent="0.35">
      <c r="B70" s="8" t="s">
        <v>70</v>
      </c>
      <c r="C70" s="17">
        <v>2837393300</v>
      </c>
      <c r="D70" s="17">
        <v>1913765877</v>
      </c>
      <c r="E70" s="17">
        <v>2352544083</v>
      </c>
      <c r="F70" s="17">
        <v>1331294074</v>
      </c>
      <c r="G70" s="17">
        <v>1695951363</v>
      </c>
      <c r="H70" s="17">
        <v>2513262116</v>
      </c>
      <c r="I70" s="17">
        <v>2948217565</v>
      </c>
    </row>
    <row r="71" spans="2:14" x14ac:dyDescent="0.35">
      <c r="B71" s="8" t="s">
        <v>71</v>
      </c>
      <c r="C71" s="17" t="s">
        <v>27</v>
      </c>
      <c r="D71" s="17" t="s">
        <v>27</v>
      </c>
      <c r="E71" s="17" t="s">
        <v>27</v>
      </c>
      <c r="F71" s="17">
        <v>28394840</v>
      </c>
      <c r="G71" s="17">
        <v>35666642</v>
      </c>
      <c r="H71" s="17">
        <v>41207819</v>
      </c>
      <c r="I71" s="17">
        <v>39624404</v>
      </c>
    </row>
    <row r="72" spans="2:14" x14ac:dyDescent="0.35">
      <c r="B72" s="8" t="s">
        <v>72</v>
      </c>
      <c r="C72" s="17">
        <v>3286605474</v>
      </c>
      <c r="D72" s="17">
        <v>4559171387</v>
      </c>
      <c r="E72" s="17">
        <v>7045580130</v>
      </c>
      <c r="F72" s="17">
        <v>6261220114</v>
      </c>
      <c r="G72" s="17">
        <v>6521744872</v>
      </c>
      <c r="H72" s="17">
        <v>7904264162</v>
      </c>
      <c r="I72" s="17">
        <v>5316613766</v>
      </c>
    </row>
    <row r="73" spans="2:14" x14ac:dyDescent="0.35">
      <c r="B73" s="8" t="s">
        <v>73</v>
      </c>
      <c r="C73" s="17" t="s">
        <v>27</v>
      </c>
      <c r="D73" s="17" t="s">
        <v>27</v>
      </c>
      <c r="E73" s="17">
        <v>1547499</v>
      </c>
      <c r="F73" s="17">
        <v>2840777</v>
      </c>
      <c r="G73" s="17">
        <v>3778478</v>
      </c>
      <c r="H73" s="17">
        <v>5752783</v>
      </c>
      <c r="I73" s="17">
        <v>7481253</v>
      </c>
    </row>
    <row r="74" spans="2:14" x14ac:dyDescent="0.35">
      <c r="B74" s="4" t="s">
        <v>74</v>
      </c>
      <c r="C74" s="18">
        <v>23371138891</v>
      </c>
      <c r="D74" s="18">
        <v>31229063060</v>
      </c>
      <c r="E74" s="18">
        <v>36202409271</v>
      </c>
      <c r="F74" s="18">
        <v>54864280531</v>
      </c>
      <c r="G74" s="18">
        <v>35411202551</v>
      </c>
      <c r="H74" s="18">
        <v>35338202413</v>
      </c>
      <c r="I74" s="18">
        <v>28598965748</v>
      </c>
    </row>
    <row r="75" spans="2:14" x14ac:dyDescent="0.35">
      <c r="B75" s="4" t="s">
        <v>75</v>
      </c>
      <c r="C75" s="18">
        <v>103428109766</v>
      </c>
      <c r="D75" s="18">
        <v>116421004490</v>
      </c>
      <c r="E75" s="18">
        <v>134449307647</v>
      </c>
      <c r="F75" s="24">
        <v>159556933960</v>
      </c>
      <c r="G75" s="18">
        <v>145938570587</v>
      </c>
      <c r="H75" s="24">
        <v>157252183375</v>
      </c>
      <c r="I75" s="18">
        <v>157615536380</v>
      </c>
    </row>
    <row r="76" spans="2:14" x14ac:dyDescent="0.35">
      <c r="B76" s="8" t="s">
        <v>76</v>
      </c>
      <c r="C76" s="20">
        <v>243.16</v>
      </c>
      <c r="D76" s="20">
        <v>264.48</v>
      </c>
      <c r="E76" s="20">
        <v>311.58999999999997</v>
      </c>
      <c r="F76" s="20">
        <v>334.68</v>
      </c>
      <c r="G76" s="20">
        <v>343.73</v>
      </c>
      <c r="H76" s="20">
        <v>379.3</v>
      </c>
      <c r="I76" s="20">
        <v>399.74</v>
      </c>
    </row>
    <row r="77" spans="2:14" ht="29" x14ac:dyDescent="0.35">
      <c r="B77" s="8" t="s">
        <v>77</v>
      </c>
      <c r="C77" s="20" t="s">
        <v>27</v>
      </c>
      <c r="D77" s="20" t="s">
        <v>27</v>
      </c>
      <c r="E77" s="20">
        <v>208.16</v>
      </c>
      <c r="F77" s="20">
        <v>334.68</v>
      </c>
      <c r="G77" s="20">
        <v>343.73</v>
      </c>
      <c r="H77" s="20">
        <v>379.3</v>
      </c>
      <c r="I77" s="20">
        <v>399.74</v>
      </c>
    </row>
    <row r="78" spans="2:14" ht="29" x14ac:dyDescent="0.35">
      <c r="B78" s="8" t="s">
        <v>78</v>
      </c>
      <c r="C78" s="20" t="s">
        <v>27</v>
      </c>
      <c r="D78" s="20" t="s">
        <v>27</v>
      </c>
      <c r="E78" s="20">
        <v>311.58999999999997</v>
      </c>
      <c r="F78" s="20">
        <v>231.34</v>
      </c>
      <c r="G78" s="20">
        <v>242.18</v>
      </c>
      <c r="H78" s="20">
        <v>277.86</v>
      </c>
      <c r="I78" s="20">
        <v>288.29000000000002</v>
      </c>
    </row>
    <row r="79" spans="2:14" x14ac:dyDescent="0.35">
      <c r="B79" s="8" t="s">
        <v>79</v>
      </c>
      <c r="C79" s="17">
        <v>300000000</v>
      </c>
      <c r="D79" s="17">
        <v>302382789</v>
      </c>
      <c r="E79" s="17">
        <v>302928343</v>
      </c>
      <c r="F79" s="17">
        <v>302928343</v>
      </c>
      <c r="G79" s="17">
        <v>302928343</v>
      </c>
      <c r="H79" s="17">
        <v>302928343</v>
      </c>
      <c r="I79" s="17">
        <v>302928343</v>
      </c>
    </row>
    <row r="80" spans="2:14" x14ac:dyDescent="0.35">
      <c r="B80" s="8" t="s">
        <v>80</v>
      </c>
      <c r="C80" s="26">
        <v>3</v>
      </c>
      <c r="D80" s="20">
        <v>20</v>
      </c>
      <c r="E80" s="20">
        <v>25</v>
      </c>
      <c r="F80" s="20">
        <v>25</v>
      </c>
      <c r="G80" s="20">
        <v>30</v>
      </c>
      <c r="H80" s="20">
        <v>35</v>
      </c>
      <c r="I80" s="20">
        <v>17.5</v>
      </c>
    </row>
    <row r="81" spans="2:14" x14ac:dyDescent="0.35">
      <c r="C81" s="20"/>
      <c r="D81" s="20"/>
      <c r="E81" s="20"/>
      <c r="F81" s="20"/>
      <c r="G81" s="20"/>
      <c r="H81" s="20"/>
    </row>
    <row r="82" spans="2:14" x14ac:dyDescent="0.35">
      <c r="C82" s="20"/>
      <c r="D82" s="20"/>
      <c r="E82" s="20"/>
      <c r="F82" s="20"/>
      <c r="G82" s="20"/>
      <c r="H82" s="20"/>
    </row>
    <row r="83" spans="2:14" x14ac:dyDescent="0.35">
      <c r="B83" s="5" t="s">
        <v>81</v>
      </c>
      <c r="C83" s="20"/>
      <c r="D83" s="20"/>
      <c r="E83" s="20"/>
      <c r="F83" s="20"/>
      <c r="G83" s="20"/>
      <c r="H83" s="20"/>
    </row>
    <row r="84" spans="2:14" x14ac:dyDescent="0.35">
      <c r="B84" s="15" t="s">
        <v>15</v>
      </c>
      <c r="C84" s="16">
        <v>2019</v>
      </c>
      <c r="D84" s="16">
        <v>2020</v>
      </c>
      <c r="E84" s="16">
        <v>2021</v>
      </c>
      <c r="F84" s="16">
        <v>2022</v>
      </c>
      <c r="G84" s="16">
        <v>2023</v>
      </c>
      <c r="H84" s="16">
        <v>2024</v>
      </c>
      <c r="I84" s="16">
        <v>2025</v>
      </c>
    </row>
    <row r="85" spans="2:14" x14ac:dyDescent="0.35">
      <c r="B85" s="8" t="s">
        <v>82</v>
      </c>
      <c r="C85" s="17">
        <v>-3012672489</v>
      </c>
      <c r="D85" s="17">
        <v>-3815799702</v>
      </c>
      <c r="E85" s="17" t="s">
        <v>27</v>
      </c>
      <c r="F85" s="17" t="s">
        <v>27</v>
      </c>
      <c r="G85" s="17" t="s">
        <v>27</v>
      </c>
      <c r="H85" s="17" t="s">
        <v>27</v>
      </c>
      <c r="I85" s="17" t="s">
        <v>27</v>
      </c>
    </row>
    <row r="86" spans="2:14" x14ac:dyDescent="0.35">
      <c r="B86" s="8" t="s">
        <v>83</v>
      </c>
      <c r="C86" s="17">
        <v>36482207357</v>
      </c>
      <c r="D86" s="17">
        <v>43353007765</v>
      </c>
      <c r="E86" s="17">
        <v>62583809304</v>
      </c>
      <c r="F86" s="17">
        <v>75328836761</v>
      </c>
      <c r="G86" s="17">
        <v>78005422848</v>
      </c>
      <c r="H86" s="17">
        <v>77419988481</v>
      </c>
      <c r="I86" s="17">
        <v>78507560112</v>
      </c>
    </row>
    <row r="87" spans="2:14" x14ac:dyDescent="0.35">
      <c r="B87" s="8" t="s">
        <v>84</v>
      </c>
      <c r="C87" s="17">
        <v>2282441</v>
      </c>
      <c r="D87" s="17">
        <v>505309</v>
      </c>
      <c r="E87" s="17">
        <v>20512137</v>
      </c>
      <c r="F87" s="17">
        <v>133258190</v>
      </c>
      <c r="G87" s="17">
        <v>122427285</v>
      </c>
      <c r="H87" s="17">
        <v>44492106</v>
      </c>
      <c r="I87" s="17">
        <v>-300489166</v>
      </c>
    </row>
    <row r="88" spans="2:14" ht="29" x14ac:dyDescent="0.35">
      <c r="B88" s="8" t="s">
        <v>85</v>
      </c>
      <c r="C88" s="17">
        <v>-31546920460</v>
      </c>
      <c r="D88" s="17">
        <v>-30595598253</v>
      </c>
      <c r="E88" s="17">
        <v>-42885618075</v>
      </c>
      <c r="F88" s="17">
        <v>-66973469260</v>
      </c>
      <c r="G88" s="17">
        <v>-33633766254</v>
      </c>
      <c r="H88" s="17">
        <v>-47829102523</v>
      </c>
      <c r="I88" s="17">
        <v>-45919169501</v>
      </c>
    </row>
    <row r="89" spans="2:14" x14ac:dyDescent="0.35">
      <c r="B89" s="8" t="s">
        <v>86</v>
      </c>
      <c r="C89" s="17" t="s">
        <v>27</v>
      </c>
      <c r="D89" s="17" t="s">
        <v>27</v>
      </c>
      <c r="E89" s="17">
        <v>-5307326990</v>
      </c>
      <c r="F89" s="17">
        <v>-7113919709</v>
      </c>
      <c r="G89" s="17">
        <v>-6426803156</v>
      </c>
      <c r="H89" s="17">
        <v>-7264260790</v>
      </c>
      <c r="I89" s="17">
        <v>-8321592870</v>
      </c>
      <c r="J89" s="25"/>
      <c r="K89" s="25"/>
      <c r="L89" s="25"/>
      <c r="M89" s="25"/>
      <c r="N89" s="25"/>
    </row>
    <row r="90" spans="2:14" x14ac:dyDescent="0.35">
      <c r="B90" s="4" t="s">
        <v>87</v>
      </c>
      <c r="C90" s="18">
        <f>SUM(C85:C89)</f>
        <v>1924896849</v>
      </c>
      <c r="D90" s="18">
        <f t="shared" ref="D90:H90" si="0">SUM(D85:D89)</f>
        <v>8942115119</v>
      </c>
      <c r="E90" s="18">
        <f t="shared" si="0"/>
        <v>14411376376</v>
      </c>
      <c r="F90" s="18">
        <f>SUM(F85:F89)</f>
        <v>1374705982</v>
      </c>
      <c r="G90" s="18">
        <f t="shared" si="0"/>
        <v>38067280723</v>
      </c>
      <c r="H90" s="18">
        <f t="shared" si="0"/>
        <v>22371117274</v>
      </c>
      <c r="I90" s="18">
        <f>SUM(I85:I89)</f>
        <v>23966308575</v>
      </c>
    </row>
    <row r="91" spans="2:14" x14ac:dyDescent="0.35">
      <c r="B91" s="8" t="s">
        <v>88</v>
      </c>
      <c r="C91" s="17">
        <v>-190620661</v>
      </c>
      <c r="D91" s="17">
        <v>-738303522</v>
      </c>
      <c r="E91" s="17">
        <v>-416504436</v>
      </c>
      <c r="F91" s="17">
        <v>-890258781</v>
      </c>
      <c r="G91" s="17">
        <v>-617254674</v>
      </c>
      <c r="H91" s="17">
        <v>-393654464</v>
      </c>
      <c r="I91" s="17">
        <v>-680115315</v>
      </c>
    </row>
    <row r="92" spans="2:14" x14ac:dyDescent="0.35">
      <c r="B92" s="8" t="s">
        <v>89</v>
      </c>
      <c r="C92" s="17">
        <v>-1446237719</v>
      </c>
      <c r="D92" s="17">
        <v>-3160471699</v>
      </c>
      <c r="E92" s="17">
        <v>-4329533333</v>
      </c>
      <c r="F92" s="17">
        <v>-2880161918</v>
      </c>
      <c r="G92" s="17">
        <v>-3569879509</v>
      </c>
      <c r="H92" s="17">
        <v>-4721414355</v>
      </c>
      <c r="I92" s="17">
        <v>-5655694493</v>
      </c>
    </row>
    <row r="93" spans="2:14" x14ac:dyDescent="0.35">
      <c r="B93" s="4" t="s">
        <v>90</v>
      </c>
      <c r="C93" s="18">
        <f>SUM(C90:C92)</f>
        <v>288038469</v>
      </c>
      <c r="D93" s="18">
        <f t="shared" ref="D93:G93" si="1">SUM(D90:D92)</f>
        <v>5043339898</v>
      </c>
      <c r="E93" s="18">
        <f t="shared" si="1"/>
        <v>9665338607</v>
      </c>
      <c r="F93" s="18">
        <f>SUM(F90:F92)</f>
        <v>-2395714717</v>
      </c>
      <c r="G93" s="18">
        <f t="shared" si="1"/>
        <v>33880146540</v>
      </c>
      <c r="H93" s="18">
        <f>SUM(H90:H92)</f>
        <v>17256048455</v>
      </c>
      <c r="I93" s="18">
        <f>SUM(I90:I92)</f>
        <v>17630498767</v>
      </c>
    </row>
    <row r="94" spans="2:14" x14ac:dyDescent="0.35">
      <c r="B94" s="4"/>
      <c r="C94" s="18"/>
      <c r="D94" s="18"/>
      <c r="E94" s="18"/>
      <c r="F94" s="18"/>
      <c r="G94" s="18"/>
      <c r="H94" s="18"/>
      <c r="I94" s="18"/>
    </row>
    <row r="95" spans="2:14" x14ac:dyDescent="0.35">
      <c r="B95" s="8" t="s">
        <v>91</v>
      </c>
      <c r="C95" s="17">
        <v>-4551090575</v>
      </c>
      <c r="D95" s="17">
        <v>-5508056013</v>
      </c>
      <c r="E95" s="17">
        <v>-4595529874</v>
      </c>
      <c r="F95" s="17">
        <v>-7618780348</v>
      </c>
      <c r="G95" s="17">
        <v>-6424773522</v>
      </c>
      <c r="H95" s="17">
        <v>-4800875705</v>
      </c>
      <c r="I95" s="17">
        <v>-5196559175</v>
      </c>
    </row>
    <row r="96" spans="2:14" x14ac:dyDescent="0.35">
      <c r="B96" s="8" t="s">
        <v>92</v>
      </c>
      <c r="C96" s="17">
        <v>84925786</v>
      </c>
      <c r="D96" s="17">
        <v>68477435</v>
      </c>
      <c r="E96" s="17">
        <v>72690206</v>
      </c>
      <c r="F96" s="17">
        <v>95872412</v>
      </c>
      <c r="G96" s="17">
        <v>30659852</v>
      </c>
      <c r="H96" s="17">
        <v>154894895</v>
      </c>
      <c r="I96" s="17">
        <v>303774449</v>
      </c>
    </row>
    <row r="97" spans="2:14" ht="43.5" customHeight="1" x14ac:dyDescent="0.35">
      <c r="B97" s="8" t="s">
        <v>93</v>
      </c>
      <c r="C97" s="17">
        <v>280000000</v>
      </c>
      <c r="D97" s="17" t="s">
        <v>27</v>
      </c>
      <c r="E97" s="17" t="s">
        <v>27</v>
      </c>
      <c r="F97" s="17" t="s">
        <v>27</v>
      </c>
      <c r="G97" s="17" t="s">
        <v>27</v>
      </c>
      <c r="H97" s="17" t="s">
        <v>27</v>
      </c>
      <c r="I97" s="17"/>
    </row>
    <row r="98" spans="2:14" x14ac:dyDescent="0.35">
      <c r="B98" s="8" t="s">
        <v>94</v>
      </c>
      <c r="C98" s="17">
        <v>318816520</v>
      </c>
      <c r="D98" s="17">
        <v>-34010334</v>
      </c>
      <c r="E98" s="17">
        <v>-748637702</v>
      </c>
      <c r="F98" s="17">
        <v>1087334219</v>
      </c>
      <c r="G98" s="17">
        <v>-35298004</v>
      </c>
      <c r="H98" s="17">
        <v>7662474</v>
      </c>
      <c r="I98" s="17">
        <v>8529881</v>
      </c>
    </row>
    <row r="99" spans="2:14" ht="29" x14ac:dyDescent="0.35">
      <c r="B99" s="8" t="s">
        <v>95</v>
      </c>
      <c r="C99" s="17">
        <v>34655224</v>
      </c>
      <c r="D99" s="17">
        <v>17291915</v>
      </c>
      <c r="E99" s="17">
        <v>129333817</v>
      </c>
      <c r="F99" s="17">
        <v>111353074</v>
      </c>
      <c r="G99" s="17">
        <v>50758387</v>
      </c>
      <c r="H99" s="17">
        <v>34690439</v>
      </c>
      <c r="I99" s="17">
        <v>57467186</v>
      </c>
    </row>
    <row r="100" spans="2:14" ht="29" x14ac:dyDescent="0.35">
      <c r="B100" s="8" t="s">
        <v>96</v>
      </c>
      <c r="C100" s="17">
        <v>-30486470</v>
      </c>
      <c r="D100" s="17">
        <v>-265221435</v>
      </c>
      <c r="E100" s="17">
        <v>-271375037</v>
      </c>
      <c r="F100" s="17">
        <v>-151424263</v>
      </c>
      <c r="G100" s="17">
        <v>135402706</v>
      </c>
      <c r="H100" s="17">
        <v>18925408</v>
      </c>
      <c r="I100" s="17">
        <v>433082545</v>
      </c>
    </row>
    <row r="101" spans="2:14" x14ac:dyDescent="0.35">
      <c r="B101" s="8" t="s">
        <v>97</v>
      </c>
      <c r="C101" s="17">
        <v>-7554445</v>
      </c>
      <c r="D101" s="17">
        <v>-14637674</v>
      </c>
      <c r="E101" s="17">
        <v>-1831593</v>
      </c>
      <c r="F101" s="17">
        <v>-3637488</v>
      </c>
      <c r="G101" s="17">
        <v>-11498840</v>
      </c>
      <c r="H101" s="17">
        <v>-3824614</v>
      </c>
      <c r="I101" s="17">
        <v>-37926730</v>
      </c>
    </row>
    <row r="102" spans="2:14" ht="29" x14ac:dyDescent="0.35">
      <c r="B102" s="8" t="s">
        <v>98</v>
      </c>
      <c r="C102" s="17" t="s">
        <v>27</v>
      </c>
      <c r="D102" s="17">
        <v>4639501</v>
      </c>
      <c r="E102" s="17">
        <v>117546308</v>
      </c>
      <c r="F102" s="17">
        <v>7850469</v>
      </c>
      <c r="G102" s="17">
        <v>18922211</v>
      </c>
      <c r="H102" s="17">
        <v>4946368</v>
      </c>
      <c r="I102" s="17">
        <v>586024</v>
      </c>
    </row>
    <row r="103" spans="2:14" x14ac:dyDescent="0.35">
      <c r="B103" s="4" t="s">
        <v>99</v>
      </c>
      <c r="C103" s="18">
        <f t="shared" ref="C103:I103" si="2">SUM(C95:C102)</f>
        <v>-3870733960</v>
      </c>
      <c r="D103" s="18">
        <f t="shared" si="2"/>
        <v>-5731516605</v>
      </c>
      <c r="E103" s="18">
        <f t="shared" si="2"/>
        <v>-5297803875</v>
      </c>
      <c r="F103" s="18">
        <f t="shared" si="2"/>
        <v>-6471431925</v>
      </c>
      <c r="G103" s="18">
        <f t="shared" si="2"/>
        <v>-6235827210</v>
      </c>
      <c r="H103" s="18">
        <f t="shared" si="2"/>
        <v>-4583580735</v>
      </c>
      <c r="I103" s="18">
        <f t="shared" si="2"/>
        <v>-4431045820</v>
      </c>
    </row>
    <row r="104" spans="2:14" x14ac:dyDescent="0.35">
      <c r="B104" s="4"/>
      <c r="C104" s="18"/>
      <c r="D104" s="18"/>
      <c r="E104" s="18"/>
      <c r="F104" s="18"/>
      <c r="G104" s="18"/>
      <c r="H104" s="18"/>
      <c r="I104" s="18"/>
    </row>
    <row r="105" spans="2:14" x14ac:dyDescent="0.35">
      <c r="B105" s="8" t="s">
        <v>100</v>
      </c>
      <c r="C105" s="17">
        <v>-1402662630</v>
      </c>
      <c r="D105" s="17">
        <v>-1693864902</v>
      </c>
      <c r="E105" s="17">
        <v>-1476116032</v>
      </c>
      <c r="F105" s="17">
        <v>-4301028940</v>
      </c>
      <c r="G105" s="17">
        <v>-7353240991</v>
      </c>
      <c r="H105" s="17">
        <v>-4373088074</v>
      </c>
      <c r="I105" s="17">
        <v>-4388111473</v>
      </c>
    </row>
    <row r="106" spans="2:14" x14ac:dyDescent="0.35">
      <c r="B106" s="8" t="s">
        <v>101</v>
      </c>
      <c r="C106" s="17" t="s">
        <v>27</v>
      </c>
      <c r="D106" s="17" t="s">
        <v>27</v>
      </c>
      <c r="E106" s="17">
        <v>29283430</v>
      </c>
      <c r="F106" s="17" t="s">
        <v>27</v>
      </c>
      <c r="G106" s="17" t="s">
        <v>27</v>
      </c>
      <c r="H106" s="17" t="s">
        <v>27</v>
      </c>
      <c r="I106" s="17"/>
    </row>
    <row r="107" spans="2:14" x14ac:dyDescent="0.35">
      <c r="B107" s="8" t="s">
        <v>102</v>
      </c>
      <c r="C107" s="17" t="s">
        <v>27</v>
      </c>
      <c r="D107" s="17">
        <v>609657805</v>
      </c>
      <c r="E107" s="17">
        <v>322025912</v>
      </c>
      <c r="F107" s="17" t="s">
        <v>27</v>
      </c>
      <c r="G107" s="17" t="s">
        <v>27</v>
      </c>
      <c r="H107" s="17" t="s">
        <v>27</v>
      </c>
      <c r="I107" s="17"/>
      <c r="J107" s="25"/>
      <c r="K107" s="25"/>
      <c r="L107" s="25"/>
      <c r="M107" s="25"/>
      <c r="N107" s="25"/>
    </row>
    <row r="108" spans="2:14" x14ac:dyDescent="0.35">
      <c r="B108" s="8" t="s">
        <v>103</v>
      </c>
      <c r="C108" s="17" t="s">
        <v>27</v>
      </c>
      <c r="D108" s="17">
        <v>-900000000</v>
      </c>
      <c r="E108" s="17">
        <v>-2307019361</v>
      </c>
      <c r="F108" s="17">
        <v>-5173208575</v>
      </c>
      <c r="G108" s="17">
        <v>-4572791875</v>
      </c>
      <c r="H108" s="17">
        <v>-2790584847</v>
      </c>
      <c r="I108" s="17">
        <v>-7236663155</v>
      </c>
    </row>
    <row r="109" spans="2:14" x14ac:dyDescent="0.35">
      <c r="B109" s="8" t="s">
        <v>104</v>
      </c>
      <c r="C109" s="17">
        <v>-3383982825</v>
      </c>
      <c r="D109" s="17">
        <v>-3173907164</v>
      </c>
      <c r="E109" s="17">
        <v>-91645422</v>
      </c>
      <c r="F109" s="17">
        <v>-1851111438</v>
      </c>
      <c r="G109" s="17">
        <v>2924918972</v>
      </c>
      <c r="H109" s="17">
        <v>1457652057</v>
      </c>
      <c r="I109" s="17">
        <v>275834802</v>
      </c>
      <c r="J109" s="25"/>
      <c r="K109" s="25"/>
      <c r="L109" s="25"/>
      <c r="M109" s="25"/>
      <c r="N109" s="25"/>
    </row>
    <row r="110" spans="2:14" x14ac:dyDescent="0.35">
      <c r="B110" s="8" t="s">
        <v>105</v>
      </c>
      <c r="C110" s="17">
        <v>108048000</v>
      </c>
      <c r="D110" s="17">
        <v>161322000</v>
      </c>
      <c r="E110" s="17" t="s">
        <v>27</v>
      </c>
      <c r="F110" s="17">
        <v>65722821</v>
      </c>
      <c r="G110" s="17">
        <v>46944872</v>
      </c>
      <c r="H110" s="17">
        <v>51639360</v>
      </c>
      <c r="I110" s="17">
        <v>66854714</v>
      </c>
      <c r="N110" s="19"/>
    </row>
    <row r="111" spans="2:14" x14ac:dyDescent="0.35">
      <c r="B111" s="8" t="s">
        <v>106</v>
      </c>
      <c r="C111" s="17" t="s">
        <v>27</v>
      </c>
      <c r="D111" s="17" t="s">
        <v>27</v>
      </c>
      <c r="E111" s="17" t="s">
        <v>27</v>
      </c>
      <c r="F111" s="17">
        <v>-35346059</v>
      </c>
      <c r="G111" s="17">
        <v>-30258351</v>
      </c>
      <c r="H111" s="17">
        <v>-37516806</v>
      </c>
      <c r="I111" s="17">
        <v>-41340652</v>
      </c>
      <c r="J111" s="25"/>
      <c r="K111" s="25"/>
      <c r="L111" s="25"/>
      <c r="M111" s="25"/>
      <c r="N111" s="25"/>
    </row>
    <row r="112" spans="2:14" x14ac:dyDescent="0.35">
      <c r="B112" s="8" t="s">
        <v>107</v>
      </c>
      <c r="C112" s="17" t="s">
        <v>27</v>
      </c>
      <c r="D112" s="17" t="s">
        <v>27</v>
      </c>
      <c r="E112" s="17" t="s">
        <v>27</v>
      </c>
      <c r="F112" s="17" t="s">
        <v>27</v>
      </c>
      <c r="G112" s="17" t="s">
        <v>27</v>
      </c>
      <c r="H112" s="17">
        <v>1974305</v>
      </c>
      <c r="I112" s="17">
        <v>1728470</v>
      </c>
    </row>
    <row r="113" spans="2:12" x14ac:dyDescent="0.35">
      <c r="B113" s="8" t="s">
        <v>108</v>
      </c>
      <c r="C113" s="17">
        <v>8149609360</v>
      </c>
      <c r="D113" s="17">
        <v>6122045405</v>
      </c>
      <c r="E113" s="17">
        <v>1392783107</v>
      </c>
      <c r="F113" s="17">
        <v>18779658803</v>
      </c>
      <c r="G113" s="17">
        <v>-18564035425</v>
      </c>
      <c r="H113" s="17">
        <v>-2852449527</v>
      </c>
      <c r="I113" s="17">
        <v>-3359625021</v>
      </c>
    </row>
    <row r="114" spans="2:12" x14ac:dyDescent="0.35">
      <c r="B114" s="4" t="s">
        <v>109</v>
      </c>
      <c r="C114" s="18">
        <f t="shared" ref="C114:I114" si="3">SUM(C105:C113)</f>
        <v>3471011905</v>
      </c>
      <c r="D114" s="18">
        <f t="shared" si="3"/>
        <v>1125253144</v>
      </c>
      <c r="E114" s="18">
        <f t="shared" si="3"/>
        <v>-2130688366</v>
      </c>
      <c r="F114" s="18">
        <f t="shared" si="3"/>
        <v>7484686612</v>
      </c>
      <c r="G114" s="18">
        <f t="shared" si="3"/>
        <v>-27548462798</v>
      </c>
      <c r="H114" s="18">
        <f t="shared" si="3"/>
        <v>-8542373532</v>
      </c>
      <c r="I114" s="18">
        <f t="shared" si="3"/>
        <v>-14681322315</v>
      </c>
    </row>
    <row r="115" spans="2:12" x14ac:dyDescent="0.35">
      <c r="B115" s="4" t="s">
        <v>110</v>
      </c>
      <c r="C115" s="18">
        <f t="shared" ref="C115:I115" si="4">C93+C103+C114</f>
        <v>-111683586</v>
      </c>
      <c r="D115" s="18">
        <f t="shared" si="4"/>
        <v>437076437</v>
      </c>
      <c r="E115" s="18">
        <f t="shared" si="4"/>
        <v>2236846366</v>
      </c>
      <c r="F115" s="18">
        <f t="shared" si="4"/>
        <v>-1382460030</v>
      </c>
      <c r="G115" s="18">
        <f t="shared" si="4"/>
        <v>95856532</v>
      </c>
      <c r="H115" s="18">
        <f t="shared" si="4"/>
        <v>4130094188</v>
      </c>
      <c r="I115" s="18">
        <f t="shared" si="4"/>
        <v>-1481869368</v>
      </c>
    </row>
    <row r="116" spans="2:12" ht="29" x14ac:dyDescent="0.35">
      <c r="B116" s="4" t="s">
        <v>111</v>
      </c>
      <c r="C116" s="18">
        <v>1141586437</v>
      </c>
      <c r="D116" s="18">
        <v>1029902851</v>
      </c>
      <c r="E116" s="18">
        <v>1466979290</v>
      </c>
      <c r="F116" s="18">
        <v>3703825656</v>
      </c>
      <c r="G116" s="18">
        <v>2321365628</v>
      </c>
      <c r="H116" s="18">
        <v>2417232161</v>
      </c>
      <c r="I116" s="18">
        <v>6547326350</v>
      </c>
    </row>
    <row r="117" spans="2:12" x14ac:dyDescent="0.35">
      <c r="B117" s="4" t="s">
        <v>112</v>
      </c>
      <c r="C117" s="18">
        <f t="shared" ref="C117:I117" si="5">SUM(C115:C116)</f>
        <v>1029902851</v>
      </c>
      <c r="D117" s="18">
        <f t="shared" si="5"/>
        <v>1466979288</v>
      </c>
      <c r="E117" s="18">
        <f t="shared" si="5"/>
        <v>3703825656</v>
      </c>
      <c r="F117" s="18">
        <f t="shared" si="5"/>
        <v>2321365626</v>
      </c>
      <c r="G117" s="18">
        <f t="shared" si="5"/>
        <v>2417222160</v>
      </c>
      <c r="H117" s="18">
        <f t="shared" si="5"/>
        <v>6547326349</v>
      </c>
      <c r="I117" s="18">
        <f t="shared" si="5"/>
        <v>5065456982</v>
      </c>
    </row>
    <row r="118" spans="2:12" ht="29" x14ac:dyDescent="0.35">
      <c r="B118" s="8" t="s">
        <v>113</v>
      </c>
      <c r="C118" s="20">
        <v>1.36</v>
      </c>
      <c r="D118" s="20">
        <v>17.100000000000001</v>
      </c>
      <c r="E118" s="20">
        <v>31.96</v>
      </c>
      <c r="F118" s="20">
        <v>-7.91</v>
      </c>
      <c r="G118" s="20">
        <v>111.84</v>
      </c>
      <c r="H118" s="20">
        <v>56.96</v>
      </c>
      <c r="I118" s="20">
        <v>58.2</v>
      </c>
    </row>
    <row r="119" spans="2:12" x14ac:dyDescent="0.35">
      <c r="B119" s="22" t="s">
        <v>114</v>
      </c>
      <c r="E119" s="23">
        <v>29645886108</v>
      </c>
      <c r="F119" s="23">
        <v>46792315776</v>
      </c>
      <c r="G119" s="23">
        <v>31168117154</v>
      </c>
      <c r="H119" s="23">
        <v>29769698491</v>
      </c>
      <c r="I119" s="23">
        <v>26696836518</v>
      </c>
    </row>
    <row r="122" spans="2:12" x14ac:dyDescent="0.35">
      <c r="B122" s="5" t="s">
        <v>115</v>
      </c>
    </row>
    <row r="123" spans="2:12" x14ac:dyDescent="0.35">
      <c r="B123" s="27" t="s">
        <v>116</v>
      </c>
      <c r="C123" s="28" t="s">
        <v>117</v>
      </c>
      <c r="D123" s="28" t="s">
        <v>118</v>
      </c>
      <c r="E123" s="28" t="s">
        <v>119</v>
      </c>
      <c r="F123" s="28" t="s">
        <v>120</v>
      </c>
      <c r="G123" s="28" t="s">
        <v>121</v>
      </c>
    </row>
    <row r="124" spans="2:12" x14ac:dyDescent="0.35">
      <c r="B124" s="27" t="s">
        <v>122</v>
      </c>
      <c r="C124" s="29">
        <v>44377</v>
      </c>
      <c r="D124" s="29">
        <v>44742</v>
      </c>
      <c r="E124" s="29">
        <v>45107</v>
      </c>
      <c r="F124" s="29">
        <v>45473</v>
      </c>
      <c r="G124" s="29">
        <v>45838</v>
      </c>
    </row>
    <row r="125" spans="2:12" x14ac:dyDescent="0.35">
      <c r="B125" s="22" t="s">
        <v>123</v>
      </c>
      <c r="C125" s="25">
        <v>16392038711</v>
      </c>
      <c r="D125" s="25">
        <v>12166150557</v>
      </c>
      <c r="E125" s="25">
        <v>7826780005</v>
      </c>
      <c r="F125" s="25">
        <v>13565259328</v>
      </c>
      <c r="G125" s="25">
        <v>10366160364</v>
      </c>
    </row>
    <row r="126" spans="2:12" x14ac:dyDescent="0.35">
      <c r="B126" s="22" t="s">
        <v>23</v>
      </c>
      <c r="C126" s="25">
        <v>1676160067</v>
      </c>
      <c r="D126" s="25">
        <v>1924661890</v>
      </c>
      <c r="E126" s="25">
        <v>2141649331</v>
      </c>
      <c r="F126" s="25">
        <v>2508935876</v>
      </c>
      <c r="G126" s="25">
        <v>2952947737</v>
      </c>
      <c r="H126" s="17"/>
      <c r="I126" s="17"/>
      <c r="J126" s="17"/>
      <c r="K126" s="17"/>
      <c r="L126" s="17"/>
    </row>
    <row r="127" spans="2:12" x14ac:dyDescent="0.35">
      <c r="B127" s="22" t="s">
        <v>24</v>
      </c>
      <c r="C127" s="25">
        <v>11509797</v>
      </c>
      <c r="D127" s="25">
        <v>3946229</v>
      </c>
      <c r="E127" s="25">
        <v>5325234</v>
      </c>
      <c r="F127" s="25">
        <v>7022841</v>
      </c>
      <c r="G127" s="25">
        <v>7863317</v>
      </c>
      <c r="H127" s="17"/>
      <c r="I127" s="17"/>
      <c r="J127" s="17"/>
      <c r="K127" s="17"/>
      <c r="L127" s="17"/>
    </row>
    <row r="128" spans="2:12" x14ac:dyDescent="0.35">
      <c r="B128" s="22" t="s">
        <v>124</v>
      </c>
      <c r="C128" s="25">
        <v>37066843</v>
      </c>
      <c r="D128" s="25">
        <v>40651337</v>
      </c>
      <c r="E128" s="25">
        <v>48641547</v>
      </c>
      <c r="F128" s="25">
        <v>446063829</v>
      </c>
      <c r="G128" s="25">
        <v>46711994</v>
      </c>
    </row>
    <row r="129" spans="2:7" x14ac:dyDescent="0.35">
      <c r="B129" s="22" t="s">
        <v>125</v>
      </c>
      <c r="C129" s="30" t="s">
        <v>27</v>
      </c>
      <c r="D129" s="30" t="s">
        <v>27</v>
      </c>
      <c r="E129" s="30" t="s">
        <v>27</v>
      </c>
      <c r="F129" s="30" t="s">
        <v>27</v>
      </c>
      <c r="G129" s="25">
        <v>122149570</v>
      </c>
    </row>
    <row r="130" spans="2:7" x14ac:dyDescent="0.35">
      <c r="B130" s="22" t="s">
        <v>126</v>
      </c>
      <c r="C130" s="25">
        <v>-239711525</v>
      </c>
      <c r="D130" s="25">
        <v>70459151</v>
      </c>
      <c r="E130" s="25">
        <v>17843367</v>
      </c>
      <c r="F130" s="25">
        <v>236532564</v>
      </c>
      <c r="G130" s="25">
        <v>-20598817</v>
      </c>
    </row>
    <row r="131" spans="2:7" x14ac:dyDescent="0.35">
      <c r="B131" s="22" t="s">
        <v>127</v>
      </c>
      <c r="C131" s="25">
        <v>413050796</v>
      </c>
      <c r="D131" s="25">
        <v>4137374788</v>
      </c>
      <c r="E131" s="25">
        <v>7239131770</v>
      </c>
      <c r="F131" s="25">
        <v>4095295906</v>
      </c>
      <c r="G131" s="25">
        <v>3973542066</v>
      </c>
    </row>
    <row r="132" spans="2:7" x14ac:dyDescent="0.35">
      <c r="B132" s="22" t="s">
        <v>128</v>
      </c>
      <c r="C132" s="25">
        <v>-9395230043</v>
      </c>
      <c r="D132" s="25">
        <v>-9018140939</v>
      </c>
      <c r="E132" s="25">
        <v>7237602554</v>
      </c>
      <c r="F132" s="25">
        <v>-2544494695</v>
      </c>
      <c r="G132" s="25">
        <v>1590184542</v>
      </c>
    </row>
    <row r="133" spans="2:7" x14ac:dyDescent="0.35">
      <c r="B133" s="22" t="s">
        <v>129</v>
      </c>
      <c r="C133" s="25">
        <v>-2197305642</v>
      </c>
      <c r="D133" s="25">
        <v>-12067057295</v>
      </c>
      <c r="E133" s="25">
        <v>10624085818</v>
      </c>
      <c r="F133" s="25">
        <v>-609130184</v>
      </c>
      <c r="G133" s="25">
        <v>-3466076228</v>
      </c>
    </row>
    <row r="134" spans="2:7" x14ac:dyDescent="0.35">
      <c r="B134" s="22" t="s">
        <v>130</v>
      </c>
      <c r="C134" s="25">
        <v>1051864827</v>
      </c>
      <c r="D134" s="25">
        <v>1656777365</v>
      </c>
      <c r="E134" s="25">
        <v>-1523447520</v>
      </c>
      <c r="F134" s="25">
        <v>572103864</v>
      </c>
      <c r="G134" s="25">
        <v>-1227061749</v>
      </c>
    </row>
    <row r="135" spans="2:7" x14ac:dyDescent="0.35">
      <c r="B135" s="22" t="s">
        <v>131</v>
      </c>
      <c r="C135" s="30" t="s">
        <v>27</v>
      </c>
      <c r="D135" s="30" t="s">
        <v>27</v>
      </c>
      <c r="E135" s="30" t="s">
        <v>27</v>
      </c>
      <c r="F135" s="30" t="s">
        <v>27</v>
      </c>
      <c r="G135" s="25">
        <v>-396989960</v>
      </c>
    </row>
    <row r="136" spans="2:7" x14ac:dyDescent="0.35">
      <c r="B136" s="22" t="s">
        <v>132</v>
      </c>
      <c r="C136" s="25">
        <v>1915894776</v>
      </c>
      <c r="D136" s="25">
        <v>-1310537799</v>
      </c>
      <c r="E136" s="25">
        <v>262534435</v>
      </c>
      <c r="F136" s="25">
        <v>-1021540873</v>
      </c>
      <c r="G136" s="25">
        <v>3681665930</v>
      </c>
    </row>
    <row r="137" spans="2:7" x14ac:dyDescent="0.35">
      <c r="B137" s="31" t="s">
        <v>133</v>
      </c>
      <c r="C137" s="32">
        <v>9665338607</v>
      </c>
      <c r="D137" s="32">
        <v>-2395714716</v>
      </c>
      <c r="E137" s="32">
        <v>33880146541</v>
      </c>
      <c r="F137" s="32">
        <v>17256048456</v>
      </c>
      <c r="G137" s="32">
        <v>17630498766</v>
      </c>
    </row>
    <row r="138" spans="2:7" x14ac:dyDescent="0.35">
      <c r="B138" s="22" t="s">
        <v>134</v>
      </c>
      <c r="C138" s="33">
        <v>0.91646000000000005</v>
      </c>
      <c r="D138" s="30" t="s">
        <v>27</v>
      </c>
      <c r="E138" s="30" t="s">
        <v>27</v>
      </c>
      <c r="F138" s="34">
        <v>-0.49067</v>
      </c>
      <c r="G138" s="33">
        <v>2.1700000000000001E-2</v>
      </c>
    </row>
    <row r="139" spans="2:7" x14ac:dyDescent="0.35">
      <c r="B139" s="22" t="s">
        <v>135</v>
      </c>
      <c r="C139" s="25">
        <v>-4595529874</v>
      </c>
      <c r="D139" s="25">
        <v>-7618780348</v>
      </c>
      <c r="E139" s="25">
        <v>-6424773522</v>
      </c>
      <c r="F139" s="25">
        <v>-4800875705</v>
      </c>
      <c r="G139" s="25">
        <v>-5196559175</v>
      </c>
    </row>
    <row r="140" spans="2:7" x14ac:dyDescent="0.35">
      <c r="B140" s="22" t="s">
        <v>136</v>
      </c>
      <c r="C140" s="25">
        <v>117546308</v>
      </c>
      <c r="D140" s="25">
        <v>7850469</v>
      </c>
      <c r="E140" s="25">
        <v>18922211</v>
      </c>
      <c r="F140" s="25">
        <v>4946368</v>
      </c>
      <c r="G140" s="25">
        <v>586024</v>
      </c>
    </row>
    <row r="141" spans="2:7" x14ac:dyDescent="0.35">
      <c r="B141" s="22" t="s">
        <v>137</v>
      </c>
      <c r="C141" s="25">
        <v>-1831593</v>
      </c>
      <c r="D141" s="25">
        <v>-3637488</v>
      </c>
      <c r="E141" s="25">
        <v>-11488840</v>
      </c>
      <c r="F141" s="25">
        <v>-3824614</v>
      </c>
      <c r="G141" s="25">
        <v>-37926730</v>
      </c>
    </row>
    <row r="142" spans="2:7" x14ac:dyDescent="0.35">
      <c r="B142" s="22" t="s">
        <v>138</v>
      </c>
      <c r="C142" s="25">
        <v>-1020012739</v>
      </c>
      <c r="D142" s="25">
        <v>935909956</v>
      </c>
      <c r="E142" s="25">
        <v>100104702</v>
      </c>
      <c r="F142" s="25">
        <v>26587882</v>
      </c>
      <c r="G142" s="25">
        <v>441612426</v>
      </c>
    </row>
    <row r="143" spans="2:7" x14ac:dyDescent="0.35">
      <c r="B143" s="22" t="s">
        <v>139</v>
      </c>
      <c r="C143" s="25">
        <v>202024023</v>
      </c>
      <c r="D143" s="25">
        <v>207225486</v>
      </c>
      <c r="E143" s="25">
        <v>81418239</v>
      </c>
      <c r="F143" s="25">
        <v>189585333</v>
      </c>
      <c r="G143" s="25">
        <v>361241634</v>
      </c>
    </row>
    <row r="144" spans="2:7" x14ac:dyDescent="0.35">
      <c r="B144" s="31" t="s">
        <v>140</v>
      </c>
      <c r="C144" s="32">
        <v>-5297803875</v>
      </c>
      <c r="D144" s="32">
        <v>-6471431925</v>
      </c>
      <c r="E144" s="32">
        <v>-6235817210</v>
      </c>
      <c r="F144" s="32">
        <v>-4583580736</v>
      </c>
      <c r="G144" s="32">
        <v>-4431045821</v>
      </c>
    </row>
    <row r="145" spans="2:7" x14ac:dyDescent="0.35">
      <c r="B145" s="22" t="s">
        <v>141</v>
      </c>
      <c r="C145" s="25">
        <v>1392783107</v>
      </c>
      <c r="D145" s="25">
        <v>18779658803</v>
      </c>
      <c r="E145" s="30" t="s">
        <v>27</v>
      </c>
      <c r="F145" s="30" t="s">
        <v>27</v>
      </c>
      <c r="G145" s="30" t="s">
        <v>27</v>
      </c>
    </row>
    <row r="146" spans="2:7" x14ac:dyDescent="0.35">
      <c r="B146" s="22" t="s">
        <v>142</v>
      </c>
      <c r="C146" s="30" t="s">
        <v>27</v>
      </c>
      <c r="D146" s="30" t="s">
        <v>27</v>
      </c>
      <c r="E146" s="25">
        <v>2924918972</v>
      </c>
      <c r="F146" s="25">
        <v>1457652057</v>
      </c>
      <c r="G146" s="25">
        <v>275834802</v>
      </c>
    </row>
    <row r="147" spans="2:7" x14ac:dyDescent="0.35">
      <c r="B147" s="31" t="s">
        <v>143</v>
      </c>
      <c r="C147" s="32">
        <v>1392783107</v>
      </c>
      <c r="D147" s="32">
        <v>18779658803</v>
      </c>
      <c r="E147" s="32">
        <v>2924918972</v>
      </c>
      <c r="F147" s="32">
        <v>1457652057</v>
      </c>
      <c r="G147" s="32">
        <v>275834802</v>
      </c>
    </row>
    <row r="148" spans="2:7" x14ac:dyDescent="0.35">
      <c r="B148" s="22" t="s">
        <v>144</v>
      </c>
      <c r="C148" s="30" t="s">
        <v>27</v>
      </c>
      <c r="D148" s="30" t="s">
        <v>27</v>
      </c>
      <c r="E148" s="25">
        <v>-18564035425</v>
      </c>
      <c r="F148" s="25">
        <v>-2852449527</v>
      </c>
      <c r="G148" s="25">
        <v>-3359625021</v>
      </c>
    </row>
    <row r="149" spans="2:7" x14ac:dyDescent="0.35">
      <c r="B149" s="22" t="s">
        <v>145</v>
      </c>
      <c r="C149" s="25">
        <v>-91645422</v>
      </c>
      <c r="D149" s="25">
        <v>-1886457497</v>
      </c>
      <c r="E149" s="25">
        <v>-30258351</v>
      </c>
      <c r="F149" s="25">
        <v>-37516806</v>
      </c>
      <c r="G149" s="25">
        <v>-41340652</v>
      </c>
    </row>
    <row r="150" spans="2:7" x14ac:dyDescent="0.35">
      <c r="B150" s="31" t="s">
        <v>146</v>
      </c>
      <c r="C150" s="32">
        <v>-91645422</v>
      </c>
      <c r="D150" s="32">
        <v>-1886457497</v>
      </c>
      <c r="E150" s="32">
        <v>-18594293776</v>
      </c>
      <c r="F150" s="32">
        <v>-2889966333</v>
      </c>
      <c r="G150" s="32">
        <v>-3400965673</v>
      </c>
    </row>
    <row r="151" spans="2:7" x14ac:dyDescent="0.35">
      <c r="B151" s="22" t="s">
        <v>147</v>
      </c>
      <c r="C151" s="25">
        <v>1301137685</v>
      </c>
      <c r="D151" s="25">
        <v>16893201306</v>
      </c>
      <c r="E151" s="25">
        <v>-15669374804</v>
      </c>
      <c r="F151" s="25">
        <v>-1432314276</v>
      </c>
      <c r="G151" s="25">
        <v>-3125130871</v>
      </c>
    </row>
    <row r="152" spans="2:7" x14ac:dyDescent="0.35">
      <c r="B152" s="22" t="s">
        <v>148</v>
      </c>
      <c r="C152" s="25">
        <v>351309342</v>
      </c>
      <c r="D152" s="30" t="s">
        <v>27</v>
      </c>
      <c r="E152" s="30" t="s">
        <v>27</v>
      </c>
      <c r="F152" s="30" t="s">
        <v>27</v>
      </c>
      <c r="G152" s="30" t="s">
        <v>27</v>
      </c>
    </row>
    <row r="153" spans="2:7" x14ac:dyDescent="0.35">
      <c r="B153" s="22" t="s">
        <v>149</v>
      </c>
      <c r="C153" s="25">
        <v>-2307019361</v>
      </c>
      <c r="D153" s="25">
        <v>-5173208575</v>
      </c>
      <c r="E153" s="25">
        <v>-4572791875</v>
      </c>
      <c r="F153" s="25">
        <v>-2790584847</v>
      </c>
      <c r="G153" s="25">
        <v>-7236663155</v>
      </c>
    </row>
    <row r="154" spans="2:7" x14ac:dyDescent="0.35">
      <c r="B154" s="22" t="s">
        <v>150</v>
      </c>
      <c r="C154" s="25">
        <v>-1476116032</v>
      </c>
      <c r="D154" s="25">
        <v>-4235306119</v>
      </c>
      <c r="E154" s="25">
        <v>-7306296119</v>
      </c>
      <c r="F154" s="25">
        <v>-4319474409</v>
      </c>
      <c r="G154" s="25">
        <v>-4319528289</v>
      </c>
    </row>
    <row r="155" spans="2:7" x14ac:dyDescent="0.35">
      <c r="B155" s="31" t="s">
        <v>151</v>
      </c>
      <c r="C155" s="32">
        <v>-2130688366</v>
      </c>
      <c r="D155" s="32">
        <v>7484686612</v>
      </c>
      <c r="E155" s="32">
        <v>-27548462798</v>
      </c>
      <c r="F155" s="32">
        <v>-8542373532</v>
      </c>
      <c r="G155" s="32">
        <v>-14681322315</v>
      </c>
    </row>
    <row r="156" spans="2:7" x14ac:dyDescent="0.35">
      <c r="B156" s="22" t="s">
        <v>152</v>
      </c>
      <c r="C156" s="30">
        <v>1</v>
      </c>
      <c r="D156" s="30">
        <v>0</v>
      </c>
      <c r="E156" s="30">
        <v>0</v>
      </c>
      <c r="F156" s="30">
        <v>1</v>
      </c>
      <c r="G156" s="30">
        <v>0</v>
      </c>
    </row>
    <row r="157" spans="2:7" x14ac:dyDescent="0.35">
      <c r="B157" s="31" t="s">
        <v>153</v>
      </c>
      <c r="C157" s="32">
        <v>2236846367</v>
      </c>
      <c r="D157" s="32">
        <v>-1382460029</v>
      </c>
      <c r="E157" s="32">
        <v>95866533</v>
      </c>
      <c r="F157" s="32">
        <v>4130094189</v>
      </c>
      <c r="G157" s="32">
        <v>-1481869370</v>
      </c>
    </row>
    <row r="158" spans="2:7" x14ac:dyDescent="0.35">
      <c r="B158" s="22" t="s">
        <v>154</v>
      </c>
      <c r="C158" s="25">
        <v>5069808733</v>
      </c>
      <c r="D158" s="25">
        <v>-10014495064</v>
      </c>
      <c r="E158" s="25">
        <v>27455373019</v>
      </c>
      <c r="F158" s="25">
        <v>12455172751</v>
      </c>
      <c r="G158" s="25">
        <v>12433939591</v>
      </c>
    </row>
    <row r="159" spans="2:7" x14ac:dyDescent="0.35">
      <c r="B159" s="22" t="s">
        <v>155</v>
      </c>
      <c r="C159" s="30" t="s">
        <v>27</v>
      </c>
      <c r="D159" s="30" t="s">
        <v>27</v>
      </c>
      <c r="E159" s="30" t="s">
        <v>27</v>
      </c>
      <c r="F159" s="34">
        <v>-0.54635</v>
      </c>
      <c r="G159" s="34">
        <v>-1.6999999999999999E-3</v>
      </c>
    </row>
    <row r="160" spans="2:7" x14ac:dyDescent="0.35">
      <c r="B160" s="22" t="s">
        <v>156</v>
      </c>
      <c r="C160" s="35">
        <v>7.2480000000000003E-2</v>
      </c>
      <c r="D160" s="35">
        <v>-0.1226</v>
      </c>
      <c r="E160" s="35">
        <v>0.41364000000000001</v>
      </c>
      <c r="F160" s="35">
        <v>0.1658</v>
      </c>
      <c r="G160" s="35">
        <v>0.17555999999999999</v>
      </c>
    </row>
    <row r="161" spans="2:9" x14ac:dyDescent="0.35">
      <c r="B161" s="22" t="s">
        <v>157</v>
      </c>
      <c r="C161" s="30">
        <v>15.242000000000001</v>
      </c>
      <c r="D161" s="30">
        <v>-30.053999999999998</v>
      </c>
      <c r="E161" s="30">
        <v>82.394000000000005</v>
      </c>
      <c r="F161" s="30">
        <v>37.378</v>
      </c>
      <c r="G161" s="30">
        <v>37.314</v>
      </c>
    </row>
    <row r="162" spans="2:9" x14ac:dyDescent="0.35">
      <c r="B162" s="22" t="s">
        <v>158</v>
      </c>
      <c r="C162" s="25">
        <v>1476116032</v>
      </c>
      <c r="D162" s="25">
        <v>4301028941</v>
      </c>
      <c r="E162" s="25">
        <v>7353240991</v>
      </c>
      <c r="F162" s="25">
        <v>4373088074</v>
      </c>
      <c r="G162" s="25">
        <v>4388111473</v>
      </c>
    </row>
    <row r="163" spans="2:9" x14ac:dyDescent="0.35">
      <c r="B163" s="22" t="s">
        <v>159</v>
      </c>
      <c r="C163" s="25">
        <v>4329533333</v>
      </c>
      <c r="D163" s="25">
        <v>2880161918</v>
      </c>
      <c r="E163" s="25">
        <v>3569879509</v>
      </c>
      <c r="F163" s="25">
        <v>4721414355</v>
      </c>
      <c r="G163" s="25">
        <v>5655694</v>
      </c>
    </row>
    <row r="164" spans="2:9" x14ac:dyDescent="0.35">
      <c r="B164" s="22" t="s">
        <v>160</v>
      </c>
      <c r="C164" s="25">
        <v>-591238468</v>
      </c>
      <c r="D164" s="25">
        <v>-16878215995</v>
      </c>
      <c r="E164" s="25">
        <v>20120451996</v>
      </c>
      <c r="F164" s="25">
        <v>3890573439</v>
      </c>
      <c r="G164" s="25">
        <v>4861523115</v>
      </c>
    </row>
    <row r="165" spans="2:9" x14ac:dyDescent="0.35">
      <c r="B165" s="22" t="s">
        <v>161</v>
      </c>
      <c r="C165" s="25">
        <v>-24245982</v>
      </c>
      <c r="D165" s="25">
        <v>-15967402113</v>
      </c>
      <c r="E165" s="25">
        <v>21795183763</v>
      </c>
      <c r="F165" s="25">
        <v>5656045922</v>
      </c>
      <c r="G165" s="25">
        <v>6752275463</v>
      </c>
    </row>
    <row r="166" spans="2:9" x14ac:dyDescent="0.35">
      <c r="B166" s="22" t="s">
        <v>162</v>
      </c>
      <c r="C166" s="25">
        <v>-8624776082</v>
      </c>
      <c r="D166" s="25">
        <v>-20738958668</v>
      </c>
      <c r="E166" s="25">
        <v>16600775287</v>
      </c>
      <c r="F166" s="25">
        <v>-3603061888</v>
      </c>
      <c r="G166" s="25">
        <v>181722535</v>
      </c>
    </row>
    <row r="167" spans="2:9" x14ac:dyDescent="0.35">
      <c r="B167" s="8" t="s">
        <v>163</v>
      </c>
      <c r="C167" s="19">
        <v>1029902851</v>
      </c>
      <c r="D167" s="19">
        <v>1466979290</v>
      </c>
      <c r="E167" s="19">
        <v>3703825656</v>
      </c>
      <c r="F167" s="19">
        <v>2321365628</v>
      </c>
      <c r="G167" s="19">
        <v>2417232161</v>
      </c>
      <c r="H167" s="19">
        <v>6547326350</v>
      </c>
    </row>
    <row r="168" spans="2:9" x14ac:dyDescent="0.35">
      <c r="B168" s="8" t="s">
        <v>164</v>
      </c>
      <c r="C168" s="19">
        <v>1466979288</v>
      </c>
      <c r="D168" s="19">
        <v>3703825656</v>
      </c>
      <c r="E168" s="19">
        <v>2321365626</v>
      </c>
      <c r="F168" s="19">
        <v>2417222160</v>
      </c>
      <c r="G168" s="19">
        <v>6547326349</v>
      </c>
      <c r="H168" s="19">
        <v>5065456982</v>
      </c>
    </row>
    <row r="172" spans="2:9" x14ac:dyDescent="0.35">
      <c r="B172" s="4" t="s">
        <v>165</v>
      </c>
    </row>
    <row r="173" spans="2:9" x14ac:dyDescent="0.35">
      <c r="B173" s="36" t="s">
        <v>166</v>
      </c>
      <c r="C173" s="37">
        <v>2019</v>
      </c>
      <c r="D173" s="37">
        <v>2020</v>
      </c>
      <c r="E173" s="37">
        <v>2021</v>
      </c>
      <c r="F173" s="37">
        <v>2022</v>
      </c>
      <c r="G173" s="37">
        <v>2023</v>
      </c>
      <c r="H173" s="37">
        <v>2024</v>
      </c>
      <c r="I173" s="37">
        <v>2025</v>
      </c>
    </row>
    <row r="174" spans="2:9" x14ac:dyDescent="0.35">
      <c r="B174" s="38" t="s">
        <v>167</v>
      </c>
      <c r="C174" s="39">
        <f>E190</f>
        <v>45532825150</v>
      </c>
      <c r="D174" s="39">
        <f>H190</f>
        <v>27712217305</v>
      </c>
      <c r="E174" s="39">
        <f>K190</f>
        <v>52166796347</v>
      </c>
      <c r="F174" s="39">
        <f>N190</f>
        <v>58182457561</v>
      </c>
      <c r="G174" s="39">
        <f>Q190</f>
        <v>44547964112</v>
      </c>
      <c r="H174" s="39">
        <f>T190</f>
        <v>46588327803</v>
      </c>
      <c r="I174" s="39">
        <f>W190</f>
        <v>47595797430</v>
      </c>
    </row>
    <row r="175" spans="2:9" x14ac:dyDescent="0.35">
      <c r="B175" s="38" t="s">
        <v>168</v>
      </c>
      <c r="C175" s="39">
        <f t="shared" ref="C175:C185" si="6">E191</f>
        <v>2251032921</v>
      </c>
      <c r="D175" s="39">
        <f t="shared" ref="D175:D185" si="7">H191</f>
        <v>3531334031</v>
      </c>
      <c r="E175" s="39">
        <f t="shared" ref="E175:E185" si="8">K191</f>
        <v>3663874665</v>
      </c>
      <c r="F175" s="39">
        <f t="shared" ref="F175:F185" si="9">N191</f>
        <v>4461440031</v>
      </c>
      <c r="G175" s="39">
        <f t="shared" ref="G175:G185" si="10">Q191</f>
        <v>6200249581</v>
      </c>
      <c r="H175" s="39">
        <f t="shared" ref="H175:H185" si="11">T191</f>
        <v>9650873269</v>
      </c>
      <c r="I175" s="39">
        <f t="shared" ref="I175:I185" si="12">W191</f>
        <v>6604019068</v>
      </c>
    </row>
    <row r="176" spans="2:9" x14ac:dyDescent="0.35">
      <c r="B176" s="38" t="s">
        <v>169</v>
      </c>
      <c r="C176" s="39">
        <f t="shared" si="6"/>
        <v>3723537910</v>
      </c>
      <c r="D176" s="39">
        <f t="shared" si="7"/>
        <v>7188360946</v>
      </c>
      <c r="E176" s="39">
        <f t="shared" si="8"/>
        <v>8277809347</v>
      </c>
      <c r="F176" s="39">
        <f t="shared" si="9"/>
        <v>9224628606</v>
      </c>
      <c r="G176" s="39">
        <f t="shared" si="10"/>
        <v>6106996264</v>
      </c>
      <c r="H176" s="39">
        <f t="shared" si="11"/>
        <v>5233481108</v>
      </c>
      <c r="I176" s="39">
        <f t="shared" si="12"/>
        <v>4114707147</v>
      </c>
    </row>
    <row r="177" spans="2:23" x14ac:dyDescent="0.35">
      <c r="B177" s="38" t="s">
        <v>170</v>
      </c>
      <c r="C177" s="39">
        <f t="shared" si="6"/>
        <v>127438441</v>
      </c>
      <c r="D177" s="39">
        <f t="shared" si="7"/>
        <v>2273906217</v>
      </c>
      <c r="E177" s="39">
        <f t="shared" si="8"/>
        <v>4659817090</v>
      </c>
      <c r="F177" s="39">
        <f t="shared" si="9"/>
        <v>7018368903</v>
      </c>
      <c r="G177" s="39">
        <f t="shared" si="10"/>
        <v>9280617364</v>
      </c>
      <c r="H177" s="39">
        <f t="shared" si="11"/>
        <v>12579783534</v>
      </c>
      <c r="I177" s="39">
        <f t="shared" si="12"/>
        <v>10168627520</v>
      </c>
    </row>
    <row r="178" spans="2:23" x14ac:dyDescent="0.35">
      <c r="B178" s="38" t="s">
        <v>171</v>
      </c>
      <c r="C178" s="39">
        <f t="shared" si="6"/>
        <v>732909440</v>
      </c>
      <c r="D178" s="39">
        <f t="shared" si="7"/>
        <v>1845942544</v>
      </c>
      <c r="E178" s="39">
        <f t="shared" si="8"/>
        <v>3196640965</v>
      </c>
      <c r="F178" s="39">
        <f t="shared" si="9"/>
        <v>4910798040</v>
      </c>
      <c r="G178" s="39">
        <f t="shared" si="10"/>
        <v>3516498503</v>
      </c>
      <c r="H178" s="39">
        <f t="shared" si="11"/>
        <v>4335514505</v>
      </c>
      <c r="I178" s="39">
        <f t="shared" si="12"/>
        <v>4620250201</v>
      </c>
    </row>
    <row r="179" spans="2:23" x14ac:dyDescent="0.35">
      <c r="B179" s="40" t="s">
        <v>172</v>
      </c>
      <c r="E179" s="39">
        <f t="shared" si="8"/>
        <v>0</v>
      </c>
      <c r="F179" s="39">
        <f t="shared" si="9"/>
        <v>539074511</v>
      </c>
      <c r="G179" s="39">
        <f t="shared" si="10"/>
        <v>1041140519</v>
      </c>
      <c r="H179" s="39">
        <f t="shared" si="11"/>
        <v>1086591865</v>
      </c>
      <c r="I179" s="39">
        <f t="shared" si="12"/>
        <v>1610788118</v>
      </c>
    </row>
    <row r="180" spans="2:23" x14ac:dyDescent="0.35">
      <c r="B180" s="40" t="s">
        <v>173</v>
      </c>
      <c r="E180" s="39">
        <f t="shared" si="8"/>
        <v>0</v>
      </c>
      <c r="F180" s="39">
        <f t="shared" si="9"/>
        <v>0</v>
      </c>
      <c r="G180" s="39">
        <f t="shared" si="10"/>
        <v>0</v>
      </c>
      <c r="H180" s="39">
        <f t="shared" si="11"/>
        <v>0</v>
      </c>
      <c r="I180" s="39">
        <f t="shared" si="12"/>
        <v>1341605715</v>
      </c>
    </row>
    <row r="181" spans="2:23" x14ac:dyDescent="0.35">
      <c r="B181" s="38" t="s">
        <v>174</v>
      </c>
      <c r="C181" s="39">
        <f t="shared" si="6"/>
        <v>0</v>
      </c>
      <c r="D181" s="39">
        <f t="shared" si="7"/>
        <v>0</v>
      </c>
      <c r="E181" s="39">
        <f t="shared" si="8"/>
        <v>0</v>
      </c>
      <c r="F181" s="39" t="str">
        <f t="shared" si="9"/>
        <v>-</v>
      </c>
      <c r="G181" s="39">
        <f t="shared" si="10"/>
        <v>36709551</v>
      </c>
      <c r="H181" s="39">
        <f t="shared" si="11"/>
        <v>276328994</v>
      </c>
      <c r="I181" s="39">
        <f t="shared" si="12"/>
        <v>619138607</v>
      </c>
    </row>
    <row r="182" spans="2:23" x14ac:dyDescent="0.35">
      <c r="B182" s="38" t="s">
        <v>175</v>
      </c>
      <c r="C182" s="39">
        <f t="shared" si="6"/>
        <v>0</v>
      </c>
      <c r="D182" s="39">
        <f t="shared" si="7"/>
        <v>0</v>
      </c>
      <c r="E182" s="39">
        <f t="shared" si="8"/>
        <v>0</v>
      </c>
      <c r="F182" s="39" t="str">
        <f t="shared" si="9"/>
        <v>-</v>
      </c>
      <c r="G182" s="39">
        <f t="shared" si="10"/>
        <v>37644400</v>
      </c>
      <c r="H182" s="39">
        <f t="shared" si="11"/>
        <v>213582098</v>
      </c>
      <c r="I182" s="39">
        <f t="shared" si="12"/>
        <v>242441762</v>
      </c>
    </row>
    <row r="183" spans="2:23" x14ac:dyDescent="0.35">
      <c r="B183" s="41" t="s">
        <v>176</v>
      </c>
      <c r="C183" s="42">
        <f t="shared" si="6"/>
        <v>52367743862</v>
      </c>
      <c r="D183" s="42">
        <f t="shared" si="7"/>
        <v>42551761043</v>
      </c>
      <c r="E183" s="42">
        <f t="shared" si="8"/>
        <v>71964938414</v>
      </c>
      <c r="F183" s="42">
        <f t="shared" si="9"/>
        <v>84336767652</v>
      </c>
      <c r="G183" s="42">
        <f t="shared" si="10"/>
        <v>70767820294</v>
      </c>
      <c r="H183" s="42">
        <f t="shared" si="11"/>
        <v>79964483176</v>
      </c>
      <c r="I183" s="42">
        <f t="shared" si="12"/>
        <v>76917375569</v>
      </c>
    </row>
    <row r="184" spans="2:23" x14ac:dyDescent="0.35">
      <c r="B184" s="38" t="s">
        <v>177</v>
      </c>
      <c r="C184" s="39">
        <f t="shared" si="6"/>
        <v>-594506746</v>
      </c>
      <c r="D184" s="39">
        <f t="shared" si="7"/>
        <v>-1472512776</v>
      </c>
      <c r="E184" s="39">
        <f t="shared" si="8"/>
        <v>-2015012601</v>
      </c>
      <c r="F184" s="39">
        <f t="shared" si="9"/>
        <v>-2655086368</v>
      </c>
      <c r="G184" s="39">
        <f t="shared" si="10"/>
        <v>-4393548889</v>
      </c>
      <c r="H184" s="39">
        <f t="shared" si="11"/>
        <v>-4843328560</v>
      </c>
      <c r="I184" s="39">
        <f t="shared" si="12"/>
        <v>-6094899866</v>
      </c>
    </row>
    <row r="185" spans="2:23" x14ac:dyDescent="0.35">
      <c r="B185" s="41" t="s">
        <v>178</v>
      </c>
      <c r="C185" s="42">
        <f t="shared" si="6"/>
        <v>51773237116</v>
      </c>
      <c r="D185" s="42">
        <f t="shared" si="7"/>
        <v>41079248267</v>
      </c>
      <c r="E185" s="42">
        <f t="shared" si="8"/>
        <v>69949925813</v>
      </c>
      <c r="F185" s="42">
        <f t="shared" si="9"/>
        <v>81681681284</v>
      </c>
      <c r="G185" s="42">
        <f t="shared" si="10"/>
        <v>66374271405</v>
      </c>
      <c r="H185" s="42">
        <f t="shared" si="11"/>
        <v>75121154616</v>
      </c>
      <c r="I185" s="42">
        <f t="shared" si="12"/>
        <v>70822475704</v>
      </c>
    </row>
    <row r="187" spans="2:23" x14ac:dyDescent="0.35">
      <c r="B187" s="3"/>
    </row>
    <row r="188" spans="2:23" x14ac:dyDescent="0.35">
      <c r="B188" s="5" t="s">
        <v>179</v>
      </c>
    </row>
    <row r="189" spans="2:23" ht="35.5" customHeight="1" x14ac:dyDescent="0.35">
      <c r="B189" s="43" t="s">
        <v>180</v>
      </c>
      <c r="C189" s="44" t="s">
        <v>181</v>
      </c>
      <c r="D189" s="44" t="s">
        <v>182</v>
      </c>
      <c r="E189" s="45" t="s">
        <v>183</v>
      </c>
      <c r="F189" s="44" t="s">
        <v>184</v>
      </c>
      <c r="G189" s="44" t="s">
        <v>185</v>
      </c>
      <c r="H189" s="45" t="s">
        <v>186</v>
      </c>
      <c r="I189" s="44" t="s">
        <v>187</v>
      </c>
      <c r="J189" s="44" t="s">
        <v>188</v>
      </c>
      <c r="K189" s="45" t="s">
        <v>189</v>
      </c>
      <c r="L189" s="44" t="s">
        <v>190</v>
      </c>
      <c r="M189" s="44" t="s">
        <v>191</v>
      </c>
      <c r="N189" s="45" t="s">
        <v>192</v>
      </c>
      <c r="O189" s="44" t="s">
        <v>193</v>
      </c>
      <c r="P189" s="44" t="s">
        <v>194</v>
      </c>
      <c r="Q189" s="45" t="s">
        <v>195</v>
      </c>
      <c r="R189" s="44" t="s">
        <v>196</v>
      </c>
      <c r="S189" s="44" t="s">
        <v>197</v>
      </c>
      <c r="T189" s="45" t="s">
        <v>198</v>
      </c>
      <c r="U189" s="46" t="s">
        <v>199</v>
      </c>
      <c r="V189" s="44" t="s">
        <v>200</v>
      </c>
      <c r="W189" s="45" t="s">
        <v>201</v>
      </c>
    </row>
    <row r="190" spans="2:23" x14ac:dyDescent="0.35">
      <c r="B190" s="10" t="s">
        <v>167</v>
      </c>
      <c r="C190" s="47">
        <v>45498332165</v>
      </c>
      <c r="D190" s="47">
        <v>34492985</v>
      </c>
      <c r="E190" s="48">
        <v>45532825150</v>
      </c>
      <c r="F190" s="47">
        <v>27673011675</v>
      </c>
      <c r="G190" s="47">
        <v>39205630</v>
      </c>
      <c r="H190" s="48">
        <v>27712217305</v>
      </c>
      <c r="I190" s="49">
        <v>51601580720</v>
      </c>
      <c r="J190" s="49">
        <v>565215627</v>
      </c>
      <c r="K190" s="50">
        <v>52166796347</v>
      </c>
      <c r="L190" s="49">
        <v>56235285772</v>
      </c>
      <c r="M190" s="49">
        <v>1947171789</v>
      </c>
      <c r="N190" s="50">
        <v>58182457561</v>
      </c>
      <c r="O190" s="49">
        <v>43324943068</v>
      </c>
      <c r="P190" s="49">
        <v>1223021044</v>
      </c>
      <c r="Q190" s="50">
        <v>44547964112</v>
      </c>
      <c r="R190" s="49">
        <v>46145647865</v>
      </c>
      <c r="S190" s="49">
        <v>442679938</v>
      </c>
      <c r="T190" s="50">
        <v>46588327803</v>
      </c>
      <c r="U190" s="51">
        <v>46970740345</v>
      </c>
      <c r="V190" s="49">
        <v>625057085</v>
      </c>
      <c r="W190" s="50">
        <v>47595797430</v>
      </c>
    </row>
    <row r="191" spans="2:23" x14ac:dyDescent="0.35">
      <c r="B191" s="10" t="s">
        <v>168</v>
      </c>
      <c r="E191" s="48">
        <v>2251032921</v>
      </c>
      <c r="F191" s="47">
        <v>3486313613</v>
      </c>
      <c r="G191" s="47">
        <v>45020418</v>
      </c>
      <c r="H191" s="48">
        <v>3531334031</v>
      </c>
      <c r="I191" s="49">
        <v>3495679775</v>
      </c>
      <c r="J191" s="49">
        <v>168194890</v>
      </c>
      <c r="K191" s="50">
        <v>3663874665</v>
      </c>
      <c r="L191" s="49">
        <v>4421955665</v>
      </c>
      <c r="M191" s="49">
        <v>39484366</v>
      </c>
      <c r="N191" s="50">
        <v>4461440031</v>
      </c>
      <c r="O191" s="49">
        <v>6184905864</v>
      </c>
      <c r="P191" s="49">
        <v>15343717</v>
      </c>
      <c r="Q191" s="50">
        <v>6200249581</v>
      </c>
      <c r="R191" s="49">
        <v>9631933632</v>
      </c>
      <c r="S191" s="49">
        <v>18939637</v>
      </c>
      <c r="T191" s="50">
        <v>9650873269</v>
      </c>
      <c r="U191" s="51">
        <v>6536528248</v>
      </c>
      <c r="V191" s="49">
        <v>67490820</v>
      </c>
      <c r="W191" s="50">
        <v>6604019068</v>
      </c>
    </row>
    <row r="192" spans="2:23" x14ac:dyDescent="0.35">
      <c r="B192" s="10" t="s">
        <v>169</v>
      </c>
      <c r="C192" s="47">
        <v>3698759172</v>
      </c>
      <c r="D192" s="47">
        <v>24778738</v>
      </c>
      <c r="E192" s="48">
        <v>3723537910</v>
      </c>
      <c r="F192" s="47">
        <v>7138515726</v>
      </c>
      <c r="G192" s="47">
        <v>49845220</v>
      </c>
      <c r="H192" s="48">
        <v>7188360946</v>
      </c>
      <c r="I192" s="49">
        <v>7841821963</v>
      </c>
      <c r="J192" s="49">
        <v>435987384</v>
      </c>
      <c r="K192" s="50">
        <v>8277809347</v>
      </c>
      <c r="L192" s="49">
        <v>8876152662</v>
      </c>
      <c r="M192" s="49">
        <v>348475944</v>
      </c>
      <c r="N192" s="50">
        <v>9224628606</v>
      </c>
      <c r="O192" s="49">
        <v>6074438700</v>
      </c>
      <c r="P192" s="49">
        <v>32557564</v>
      </c>
      <c r="Q192" s="50">
        <v>6106996264</v>
      </c>
      <c r="R192" s="49">
        <v>5197771323</v>
      </c>
      <c r="S192" s="49">
        <v>35709785</v>
      </c>
      <c r="T192" s="50">
        <v>5233481108</v>
      </c>
      <c r="U192" s="51">
        <v>4091731834</v>
      </c>
      <c r="V192" s="49">
        <v>22975313</v>
      </c>
      <c r="W192" s="50">
        <v>4114707147</v>
      </c>
    </row>
    <row r="193" spans="2:23" x14ac:dyDescent="0.35">
      <c r="B193" s="10" t="s">
        <v>170</v>
      </c>
      <c r="C193" s="47">
        <v>127438441</v>
      </c>
      <c r="D193" s="47" t="s">
        <v>27</v>
      </c>
      <c r="E193" s="48">
        <v>127438441</v>
      </c>
      <c r="F193" s="47">
        <v>2273707492</v>
      </c>
      <c r="G193" s="47">
        <v>198725</v>
      </c>
      <c r="H193" s="48">
        <v>2273906217</v>
      </c>
      <c r="I193" s="49">
        <v>4657925838</v>
      </c>
      <c r="J193" s="49">
        <v>1891252</v>
      </c>
      <c r="K193" s="50">
        <v>4659817090</v>
      </c>
      <c r="L193" s="49">
        <v>7009087457</v>
      </c>
      <c r="M193" s="49">
        <v>9281446</v>
      </c>
      <c r="N193" s="50">
        <v>7018368903</v>
      </c>
      <c r="O193" s="49">
        <v>9277672180</v>
      </c>
      <c r="P193" s="49">
        <v>2945184</v>
      </c>
      <c r="Q193" s="50">
        <v>9280617364</v>
      </c>
      <c r="R193" s="49">
        <v>12564294247</v>
      </c>
      <c r="S193" s="49">
        <v>15489287</v>
      </c>
      <c r="T193" s="50">
        <v>12579783534</v>
      </c>
      <c r="U193" s="51">
        <v>10161536579</v>
      </c>
      <c r="V193" s="49">
        <v>7090941</v>
      </c>
      <c r="W193" s="50">
        <v>10168627520</v>
      </c>
    </row>
    <row r="194" spans="2:23" x14ac:dyDescent="0.35">
      <c r="B194" s="10" t="s">
        <v>171</v>
      </c>
      <c r="C194" s="47">
        <v>732564328</v>
      </c>
      <c r="D194" s="47">
        <v>345112</v>
      </c>
      <c r="E194" s="48">
        <v>732909440</v>
      </c>
      <c r="F194" s="47">
        <v>1840279213</v>
      </c>
      <c r="G194" s="47">
        <v>5663331</v>
      </c>
      <c r="H194" s="48">
        <v>1845942544</v>
      </c>
      <c r="I194" s="49">
        <v>3172396969</v>
      </c>
      <c r="J194" s="49">
        <v>24243996</v>
      </c>
      <c r="K194" s="50">
        <v>3196640965</v>
      </c>
      <c r="L194" s="49">
        <v>4848740292</v>
      </c>
      <c r="M194" s="49">
        <v>62057748</v>
      </c>
      <c r="N194" s="50">
        <v>4910798040</v>
      </c>
      <c r="O194" s="49">
        <v>3497432900</v>
      </c>
      <c r="P194" s="49">
        <v>19065603</v>
      </c>
      <c r="Q194" s="50">
        <v>3516498503</v>
      </c>
      <c r="R194" s="49">
        <v>4330952602</v>
      </c>
      <c r="S194" s="49">
        <v>4561903</v>
      </c>
      <c r="T194" s="50">
        <v>4335514505</v>
      </c>
      <c r="U194" s="51">
        <v>4593016537</v>
      </c>
      <c r="V194" s="49">
        <v>27233664</v>
      </c>
      <c r="W194" s="50">
        <v>4620250201</v>
      </c>
    </row>
    <row r="195" spans="2:23" x14ac:dyDescent="0.35">
      <c r="B195" s="52" t="s">
        <v>172</v>
      </c>
      <c r="C195" s="47"/>
      <c r="D195" s="47"/>
      <c r="E195" s="48"/>
      <c r="F195" s="47"/>
      <c r="G195" s="47"/>
      <c r="H195" s="48"/>
      <c r="I195" s="49"/>
      <c r="J195" s="49"/>
      <c r="K195" s="50"/>
      <c r="L195" s="49">
        <v>539074511</v>
      </c>
      <c r="M195" s="49" t="s">
        <v>27</v>
      </c>
      <c r="N195" s="50">
        <v>539074511</v>
      </c>
      <c r="O195" s="49">
        <v>1041140519</v>
      </c>
      <c r="P195" s="49" t="s">
        <v>27</v>
      </c>
      <c r="Q195" s="50">
        <v>1041140519</v>
      </c>
      <c r="R195" s="49">
        <v>1086591865</v>
      </c>
      <c r="S195" s="49" t="s">
        <v>27</v>
      </c>
      <c r="T195" s="50">
        <v>1086591865</v>
      </c>
      <c r="U195" s="51">
        <v>1606531242</v>
      </c>
      <c r="V195" s="49">
        <v>4256876</v>
      </c>
      <c r="W195" s="50">
        <v>1610788118</v>
      </c>
    </row>
    <row r="196" spans="2:23" x14ac:dyDescent="0.35">
      <c r="B196" s="52" t="s">
        <v>173</v>
      </c>
      <c r="C196" s="47"/>
      <c r="D196" s="47"/>
      <c r="E196" s="48"/>
      <c r="F196" s="47"/>
      <c r="G196" s="47"/>
      <c r="H196" s="48"/>
      <c r="I196" s="49"/>
      <c r="J196" s="49"/>
      <c r="K196" s="50"/>
      <c r="L196" s="49"/>
      <c r="M196" s="49"/>
      <c r="N196" s="50"/>
      <c r="O196" s="49"/>
      <c r="P196" s="49"/>
      <c r="Q196" s="50"/>
      <c r="R196" s="49" t="s">
        <v>27</v>
      </c>
      <c r="S196" s="49" t="s">
        <v>27</v>
      </c>
      <c r="T196" s="50"/>
      <c r="U196" s="51">
        <v>1341605715</v>
      </c>
      <c r="V196" s="49"/>
      <c r="W196" s="50">
        <v>1341605715</v>
      </c>
    </row>
    <row r="197" spans="2:23" x14ac:dyDescent="0.35">
      <c r="B197" s="10" t="s">
        <v>174</v>
      </c>
      <c r="C197" s="47"/>
      <c r="D197" s="47"/>
      <c r="E197" s="48"/>
      <c r="F197" s="47"/>
      <c r="G197" s="47"/>
      <c r="H197" s="48"/>
      <c r="I197" s="49"/>
      <c r="J197" s="49"/>
      <c r="K197" s="50"/>
      <c r="L197" s="49" t="s">
        <v>27</v>
      </c>
      <c r="M197" s="49" t="s">
        <v>27</v>
      </c>
      <c r="N197" s="50" t="s">
        <v>27</v>
      </c>
      <c r="O197" s="49">
        <v>36709551</v>
      </c>
      <c r="P197" s="49" t="s">
        <v>27</v>
      </c>
      <c r="Q197" s="50">
        <v>36709551</v>
      </c>
      <c r="R197" s="49">
        <v>276328994</v>
      </c>
      <c r="S197" s="49" t="s">
        <v>27</v>
      </c>
      <c r="T197" s="50">
        <v>276328994</v>
      </c>
      <c r="U197" s="51">
        <v>619138607</v>
      </c>
      <c r="V197" s="49" t="s">
        <v>27</v>
      </c>
      <c r="W197" s="50">
        <v>619138607</v>
      </c>
    </row>
    <row r="198" spans="2:23" x14ac:dyDescent="0.35">
      <c r="B198" s="10" t="s">
        <v>175</v>
      </c>
      <c r="C198" s="47"/>
      <c r="D198" s="47"/>
      <c r="E198" s="48"/>
      <c r="F198" s="47"/>
      <c r="G198" s="47"/>
      <c r="H198" s="48"/>
      <c r="I198" s="49"/>
      <c r="J198" s="49"/>
      <c r="K198" s="50"/>
      <c r="L198" s="49" t="s">
        <v>27</v>
      </c>
      <c r="M198" s="49" t="s">
        <v>27</v>
      </c>
      <c r="N198" s="50" t="s">
        <v>27</v>
      </c>
      <c r="O198" s="49">
        <v>37644400</v>
      </c>
      <c r="P198" s="49" t="s">
        <v>27</v>
      </c>
      <c r="Q198" s="50">
        <v>37644400</v>
      </c>
      <c r="R198" s="49">
        <v>213582098</v>
      </c>
      <c r="S198" s="49" t="s">
        <v>27</v>
      </c>
      <c r="T198" s="50">
        <v>213582098</v>
      </c>
      <c r="U198" s="51">
        <v>242441762</v>
      </c>
      <c r="V198" s="49" t="s">
        <v>27</v>
      </c>
      <c r="W198" s="50">
        <v>242441762</v>
      </c>
    </row>
    <row r="199" spans="2:23" x14ac:dyDescent="0.35">
      <c r="B199" s="4" t="s">
        <v>176</v>
      </c>
      <c r="C199" s="53">
        <v>52308047639</v>
      </c>
      <c r="D199" s="53">
        <v>59696223</v>
      </c>
      <c r="E199" s="54">
        <v>52367743862</v>
      </c>
      <c r="F199" s="53">
        <v>42411827719</v>
      </c>
      <c r="G199" s="53">
        <v>139933324</v>
      </c>
      <c r="H199" s="54">
        <v>42551761043</v>
      </c>
      <c r="I199" s="55">
        <v>70769405265</v>
      </c>
      <c r="J199" s="55">
        <v>1195533149</v>
      </c>
      <c r="K199" s="56">
        <v>71964938414</v>
      </c>
      <c r="L199" s="55">
        <v>81930296359</v>
      </c>
      <c r="M199" s="55">
        <v>2406471293</v>
      </c>
      <c r="N199" s="56">
        <v>84336767652</v>
      </c>
      <c r="O199" s="55">
        <v>69474887182</v>
      </c>
      <c r="P199" s="55">
        <v>1292933112</v>
      </c>
      <c r="Q199" s="56">
        <v>70767820294</v>
      </c>
      <c r="R199" s="55">
        <v>79447102626</v>
      </c>
      <c r="S199" s="55">
        <v>517380550</v>
      </c>
      <c r="T199" s="56">
        <v>79964483176</v>
      </c>
      <c r="U199" s="57">
        <v>76163270870</v>
      </c>
      <c r="V199" s="55">
        <v>754104699</v>
      </c>
      <c r="W199" s="56">
        <v>76917375569</v>
      </c>
    </row>
    <row r="200" spans="2:23" x14ac:dyDescent="0.35">
      <c r="B200" s="8" t="s">
        <v>177</v>
      </c>
      <c r="C200" s="47">
        <v>-594506746</v>
      </c>
      <c r="D200" s="47" t="s">
        <v>27</v>
      </c>
      <c r="E200" s="48">
        <v>-594506746</v>
      </c>
      <c r="F200" s="47">
        <v>-1472512776</v>
      </c>
      <c r="G200" s="47" t="s">
        <v>27</v>
      </c>
      <c r="H200" s="48">
        <v>-1472512776</v>
      </c>
      <c r="I200" s="49">
        <v>-2015012601</v>
      </c>
      <c r="J200" s="49" t="s">
        <v>27</v>
      </c>
      <c r="K200" s="50">
        <v>-2015012601</v>
      </c>
      <c r="L200" s="49">
        <v>-2655086368</v>
      </c>
      <c r="M200" s="49" t="s">
        <v>27</v>
      </c>
      <c r="N200" s="50">
        <v>-2655086368</v>
      </c>
      <c r="O200" s="49">
        <v>-4393548889</v>
      </c>
      <c r="P200" s="49" t="s">
        <v>27</v>
      </c>
      <c r="Q200" s="50">
        <v>-4393548889</v>
      </c>
      <c r="R200" s="49">
        <v>-4843328560</v>
      </c>
      <c r="S200" s="49" t="s">
        <v>27</v>
      </c>
      <c r="T200" s="50">
        <v>-4843328560</v>
      </c>
      <c r="U200" s="51">
        <v>-6094899866</v>
      </c>
      <c r="V200" s="49" t="s">
        <v>27</v>
      </c>
      <c r="W200" s="50">
        <v>-6094899866</v>
      </c>
    </row>
    <row r="201" spans="2:23" x14ac:dyDescent="0.35">
      <c r="B201" s="4" t="s">
        <v>178</v>
      </c>
      <c r="C201" s="53">
        <v>51713540893</v>
      </c>
      <c r="D201" s="53">
        <v>59696223</v>
      </c>
      <c r="E201" s="54">
        <v>51773237116</v>
      </c>
      <c r="F201" s="53">
        <v>40939314943</v>
      </c>
      <c r="G201" s="53">
        <v>139933324</v>
      </c>
      <c r="H201" s="54">
        <v>41079248267</v>
      </c>
      <c r="I201" s="55">
        <v>68754392664</v>
      </c>
      <c r="J201" s="55">
        <v>1195533149</v>
      </c>
      <c r="K201" s="56">
        <v>69949925813</v>
      </c>
      <c r="L201" s="55">
        <v>79275209991</v>
      </c>
      <c r="M201" s="55">
        <v>2406471293</v>
      </c>
      <c r="N201" s="56">
        <v>81681681284</v>
      </c>
      <c r="O201" s="55">
        <v>65081338293</v>
      </c>
      <c r="P201" s="55">
        <v>1292933112</v>
      </c>
      <c r="Q201" s="56">
        <v>66374271405</v>
      </c>
      <c r="R201" s="55">
        <v>74603774066</v>
      </c>
      <c r="S201" s="55">
        <v>517380550</v>
      </c>
      <c r="T201" s="56">
        <v>75121154616</v>
      </c>
      <c r="U201" s="57">
        <v>70068371004</v>
      </c>
      <c r="V201" s="55">
        <v>754104699</v>
      </c>
      <c r="W201" s="56">
        <v>70822475704</v>
      </c>
    </row>
    <row r="204" spans="2:23" x14ac:dyDescent="0.35">
      <c r="B204" s="3"/>
    </row>
    <row r="205" spans="2:23" x14ac:dyDescent="0.35">
      <c r="B205" s="3"/>
      <c r="C205" s="58"/>
    </row>
    <row r="206" spans="2:23" x14ac:dyDescent="0.35">
      <c r="B206" s="3"/>
    </row>
    <row r="207" spans="2:23" x14ac:dyDescent="0.35">
      <c r="B207" s="3"/>
    </row>
    <row r="208" spans="2:23" x14ac:dyDescent="0.35">
      <c r="B208" s="3"/>
    </row>
    <row r="209" spans="2:2" x14ac:dyDescent="0.35">
      <c r="B209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 Hider Rahman</dc:creator>
  <cp:lastModifiedBy>Ifta Hider Rahman</cp:lastModifiedBy>
  <dcterms:created xsi:type="dcterms:W3CDTF">2025-12-04T07:50:08Z</dcterms:created>
  <dcterms:modified xsi:type="dcterms:W3CDTF">2025-12-04T07:50:57Z</dcterms:modified>
</cp:coreProperties>
</file>