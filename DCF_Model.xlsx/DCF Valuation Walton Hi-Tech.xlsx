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iles\DCF Valuation - Walton Hi-Tech\"/>
    </mc:Choice>
  </mc:AlternateContent>
  <xr:revisionPtr revIDLastSave="0" documentId="13_ncr:1_{1A4E8848-AF2E-4F7B-82B1-2A7A88C1E5D6}" xr6:coauthVersionLast="47" xr6:coauthVersionMax="47" xr10:uidLastSave="{00000000-0000-0000-0000-000000000000}"/>
  <bookViews>
    <workbookView xWindow="-110" yWindow="-110" windowWidth="19420" windowHeight="10300" tabRatio="877" xr2:uid="{7CCC2E05-2E93-4281-B3E3-CF64930B747E}"/>
  </bookViews>
  <sheets>
    <sheet name="Instructions" sheetId="9" r:id="rId1"/>
    <sheet name="Assumptions" sheetId="2" r:id="rId2"/>
    <sheet name="Data" sheetId="1" r:id="rId3"/>
    <sheet name="Historical FS" sheetId="8" r:id="rId4"/>
    <sheet name="Revenue Forecast" sheetId="16" r:id="rId5"/>
    <sheet name="Income Statement" sheetId="3" r:id="rId6"/>
    <sheet name="Balance Sheet" sheetId="4" r:id="rId7"/>
    <sheet name="Cash Flow Statement" sheetId="5" r:id="rId8"/>
    <sheet name="Ratio Analysis" sheetId="7" r:id="rId9"/>
    <sheet name="DCF Valuation" sheetId="6" r:id="rId10"/>
    <sheet name="WACC Calculation" sheetId="10" r:id="rId11"/>
    <sheet name="Depreciation Schedule" sheetId="13" r:id="rId12"/>
    <sheet name="Working Capital Schedule" sheetId="14" r:id="rId13"/>
    <sheet name="Debt Schedule" sheetId="15" r:id="rId14"/>
    <sheet name="Charts" sheetId="17" r:id="rId15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3" l="1"/>
  <c r="C9" i="3"/>
  <c r="G13" i="4"/>
  <c r="G39" i="7" s="1"/>
  <c r="D26" i="7"/>
  <c r="E26" i="7"/>
  <c r="F26" i="7"/>
  <c r="G26" i="7"/>
  <c r="C26" i="7"/>
  <c r="E25" i="7"/>
  <c r="F25" i="7"/>
  <c r="G25" i="7"/>
  <c r="D25" i="7"/>
  <c r="C25" i="7"/>
  <c r="E24" i="7"/>
  <c r="F24" i="7"/>
  <c r="D24" i="7"/>
  <c r="C24" i="7"/>
  <c r="E23" i="7"/>
  <c r="F23" i="7"/>
  <c r="G23" i="7"/>
  <c r="D23" i="7"/>
  <c r="C23" i="7"/>
  <c r="E22" i="7"/>
  <c r="F22" i="7"/>
  <c r="G22" i="7"/>
  <c r="D22" i="7"/>
  <c r="C22" i="7"/>
  <c r="E21" i="7"/>
  <c r="F21" i="7"/>
  <c r="D21" i="7"/>
  <c r="C21" i="7"/>
  <c r="D35" i="7"/>
  <c r="E35" i="7"/>
  <c r="F35" i="7"/>
  <c r="G35" i="7"/>
  <c r="C35" i="7"/>
  <c r="C36" i="7"/>
  <c r="D33" i="7"/>
  <c r="E33" i="7"/>
  <c r="F33" i="7"/>
  <c r="G33" i="7"/>
  <c r="D34" i="7"/>
  <c r="E34" i="7"/>
  <c r="F34" i="7"/>
  <c r="C34" i="7"/>
  <c r="C33" i="7"/>
  <c r="D27" i="7"/>
  <c r="E27" i="7"/>
  <c r="F27" i="7"/>
  <c r="G27" i="7"/>
  <c r="D28" i="7"/>
  <c r="E28" i="7"/>
  <c r="F28" i="7"/>
  <c r="G28" i="7"/>
  <c r="D29" i="7"/>
  <c r="E29" i="7"/>
  <c r="F29" i="7"/>
  <c r="G29" i="7"/>
  <c r="C29" i="7"/>
  <c r="C28" i="7"/>
  <c r="C27" i="7"/>
  <c r="D41" i="7"/>
  <c r="E41" i="7"/>
  <c r="F41" i="7"/>
  <c r="G41" i="7"/>
  <c r="C41" i="7"/>
  <c r="D39" i="7"/>
  <c r="E39" i="7"/>
  <c r="F39" i="7"/>
  <c r="D40" i="7"/>
  <c r="E40" i="7"/>
  <c r="F40" i="7"/>
  <c r="C40" i="7"/>
  <c r="C39" i="7"/>
  <c r="D51" i="7"/>
  <c r="E51" i="7"/>
  <c r="F51" i="7"/>
  <c r="D52" i="7"/>
  <c r="E52" i="7"/>
  <c r="F52" i="7"/>
  <c r="G52" i="7"/>
  <c r="C52" i="7"/>
  <c r="C51" i="7"/>
  <c r="D50" i="7"/>
  <c r="E50" i="7"/>
  <c r="F50" i="7"/>
  <c r="G50" i="7"/>
  <c r="C50" i="7"/>
  <c r="C48" i="7"/>
  <c r="D46" i="7"/>
  <c r="E46" i="7"/>
  <c r="F46" i="7"/>
  <c r="G46" i="7"/>
  <c r="C46" i="7"/>
  <c r="D14" i="7"/>
  <c r="E14" i="7"/>
  <c r="F14" i="7"/>
  <c r="G14" i="7"/>
  <c r="D15" i="7"/>
  <c r="E15" i="7"/>
  <c r="F15" i="7"/>
  <c r="G15" i="7"/>
  <c r="D16" i="7"/>
  <c r="E16" i="7"/>
  <c r="F16" i="7"/>
  <c r="G16" i="7"/>
  <c r="D17" i="7"/>
  <c r="E17" i="7"/>
  <c r="F17" i="7"/>
  <c r="G17" i="7"/>
  <c r="D18" i="7"/>
  <c r="E18" i="7"/>
  <c r="F18" i="7"/>
  <c r="C18" i="7"/>
  <c r="C17" i="7"/>
  <c r="C16" i="7"/>
  <c r="C15" i="7"/>
  <c r="C14" i="7"/>
  <c r="D13" i="7"/>
  <c r="E13" i="7"/>
  <c r="F13" i="7"/>
  <c r="G13" i="7"/>
  <c r="C13" i="7"/>
  <c r="J5" i="10"/>
  <c r="G40" i="7" l="1"/>
  <c r="J28" i="10"/>
  <c r="E6" i="10"/>
  <c r="C16" i="6"/>
  <c r="C25" i="6"/>
  <c r="C22" i="6" l="1"/>
  <c r="C23" i="6"/>
  <c r="E18" i="10" l="1"/>
  <c r="E16" i="10"/>
  <c r="E14" i="10"/>
  <c r="E15" i="10"/>
  <c r="D15" i="10"/>
  <c r="D14" i="10"/>
  <c r="D52" i="2" l="1"/>
  <c r="J6" i="10"/>
  <c r="I69" i="8"/>
  <c r="D69" i="8"/>
  <c r="E69" i="8"/>
  <c r="F69" i="8"/>
  <c r="G69" i="8"/>
  <c r="C69" i="8"/>
  <c r="C64" i="8"/>
  <c r="D95" i="8" l="1"/>
  <c r="E95" i="8"/>
  <c r="F95" i="8"/>
  <c r="G95" i="8"/>
  <c r="C95" i="8"/>
  <c r="E11" i="15"/>
  <c r="C16" i="15"/>
  <c r="I29" i="5"/>
  <c r="J29" i="5"/>
  <c r="K29" i="5"/>
  <c r="L29" i="5"/>
  <c r="M29" i="5"/>
  <c r="N29" i="5"/>
  <c r="O29" i="5"/>
  <c r="P29" i="5"/>
  <c r="Q29" i="5"/>
  <c r="H29" i="5"/>
  <c r="I28" i="5"/>
  <c r="J28" i="5"/>
  <c r="K28" i="5"/>
  <c r="L28" i="5"/>
  <c r="M28" i="5"/>
  <c r="N28" i="5"/>
  <c r="O28" i="5"/>
  <c r="P28" i="5"/>
  <c r="Q28" i="5"/>
  <c r="H28" i="5"/>
  <c r="E41" i="15"/>
  <c r="F41" i="15" s="1"/>
  <c r="G41" i="15" s="1"/>
  <c r="H41" i="15" s="1"/>
  <c r="I41" i="15" s="1"/>
  <c r="J41" i="15" s="1"/>
  <c r="K41" i="15" s="1"/>
  <c r="L41" i="15" s="1"/>
  <c r="M41" i="15" s="1"/>
  <c r="C36" i="15"/>
  <c r="C24" i="15"/>
  <c r="C32" i="15"/>
  <c r="C34" i="8"/>
  <c r="C8" i="4" s="1"/>
  <c r="G46" i="4"/>
  <c r="H46" i="4" s="1"/>
  <c r="I46" i="4" s="1"/>
  <c r="J46" i="4" s="1"/>
  <c r="K46" i="4" s="1"/>
  <c r="L46" i="4" s="1"/>
  <c r="M46" i="4" s="1"/>
  <c r="N46" i="4" s="1"/>
  <c r="O46" i="4" s="1"/>
  <c r="P46" i="4" s="1"/>
  <c r="Q46" i="4" s="1"/>
  <c r="F44" i="4"/>
  <c r="D38" i="4"/>
  <c r="F38" i="4"/>
  <c r="G38" i="4"/>
  <c r="H38" i="4" s="1"/>
  <c r="I38" i="4" s="1"/>
  <c r="J38" i="4" s="1"/>
  <c r="K38" i="4" s="1"/>
  <c r="F30" i="4"/>
  <c r="F20" i="4"/>
  <c r="G20" i="4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C16" i="4"/>
  <c r="D66" i="8"/>
  <c r="D47" i="4" s="1"/>
  <c r="E66" i="8"/>
  <c r="E47" i="4" s="1"/>
  <c r="F66" i="8"/>
  <c r="F47" i="4" s="1"/>
  <c r="G66" i="8"/>
  <c r="G47" i="4" s="1"/>
  <c r="C66" i="8"/>
  <c r="C47" i="4" s="1"/>
  <c r="D65" i="8"/>
  <c r="D46" i="4" s="1"/>
  <c r="E65" i="8"/>
  <c r="E46" i="4" s="1"/>
  <c r="F65" i="8"/>
  <c r="F46" i="4" s="1"/>
  <c r="G65" i="8"/>
  <c r="C65" i="8"/>
  <c r="C46" i="4" s="1"/>
  <c r="D64" i="8"/>
  <c r="D45" i="4" s="1"/>
  <c r="E64" i="8"/>
  <c r="E45" i="4" s="1"/>
  <c r="F64" i="8"/>
  <c r="F45" i="4" s="1"/>
  <c r="G64" i="8"/>
  <c r="G45" i="4" s="1"/>
  <c r="H45" i="4" s="1"/>
  <c r="I45" i="4" s="1"/>
  <c r="J45" i="4" s="1"/>
  <c r="C45" i="4"/>
  <c r="D63" i="8"/>
  <c r="D44" i="4" s="1"/>
  <c r="E63" i="8"/>
  <c r="E44" i="4" s="1"/>
  <c r="F63" i="8"/>
  <c r="G63" i="8"/>
  <c r="G44" i="4" s="1"/>
  <c r="H44" i="4" s="1"/>
  <c r="I44" i="4" s="1"/>
  <c r="J44" i="4" s="1"/>
  <c r="K44" i="4" s="1"/>
  <c r="C63" i="8"/>
  <c r="C44" i="4" s="1"/>
  <c r="D59" i="8"/>
  <c r="E59" i="8"/>
  <c r="E38" i="4" s="1"/>
  <c r="F59" i="8"/>
  <c r="G59" i="8"/>
  <c r="C59" i="8"/>
  <c r="C38" i="4" s="1"/>
  <c r="D58" i="8"/>
  <c r="D37" i="4" s="1"/>
  <c r="E58" i="8"/>
  <c r="E37" i="4" s="1"/>
  <c r="F58" i="8"/>
  <c r="F37" i="4" s="1"/>
  <c r="G58" i="8"/>
  <c r="G37" i="4" s="1"/>
  <c r="H37" i="4" s="1"/>
  <c r="I37" i="4" s="1"/>
  <c r="J37" i="4" s="1"/>
  <c r="K37" i="4" s="1"/>
  <c r="L37" i="4" s="1"/>
  <c r="M37" i="4" s="1"/>
  <c r="N37" i="4" s="1"/>
  <c r="O37" i="4" s="1"/>
  <c r="P37" i="4" s="1"/>
  <c r="Q37" i="4" s="1"/>
  <c r="C58" i="8"/>
  <c r="C37" i="4" s="1"/>
  <c r="D57" i="8"/>
  <c r="D36" i="4" s="1"/>
  <c r="E57" i="8"/>
  <c r="E36" i="4" s="1"/>
  <c r="F57" i="8"/>
  <c r="F36" i="4" s="1"/>
  <c r="C28" i="15" s="1"/>
  <c r="G57" i="8"/>
  <c r="G36" i="4" s="1"/>
  <c r="C57" i="8"/>
  <c r="C36" i="4" s="1"/>
  <c r="D56" i="8"/>
  <c r="D35" i="4" s="1"/>
  <c r="E56" i="8"/>
  <c r="E35" i="4" s="1"/>
  <c r="F56" i="8"/>
  <c r="F35" i="4" s="1"/>
  <c r="G56" i="8"/>
  <c r="G35" i="4" s="1"/>
  <c r="C56" i="8"/>
  <c r="C35" i="4" s="1"/>
  <c r="D53" i="8"/>
  <c r="D31" i="4" s="1"/>
  <c r="E53" i="8"/>
  <c r="E31" i="4" s="1"/>
  <c r="F53" i="8"/>
  <c r="F31" i="4" s="1"/>
  <c r="G53" i="8"/>
  <c r="G31" i="4" s="1"/>
  <c r="C53" i="8"/>
  <c r="C31" i="4" s="1"/>
  <c r="D52" i="8"/>
  <c r="D30" i="4" s="1"/>
  <c r="E52" i="8"/>
  <c r="E30" i="4" s="1"/>
  <c r="F52" i="8"/>
  <c r="G52" i="8"/>
  <c r="G30" i="4" s="1"/>
  <c r="H30" i="4" s="1"/>
  <c r="I30" i="4" s="1"/>
  <c r="J30" i="4" s="1"/>
  <c r="K30" i="4" s="1"/>
  <c r="L30" i="4" s="1"/>
  <c r="M30" i="4" s="1"/>
  <c r="N30" i="4" s="1"/>
  <c r="O30" i="4" s="1"/>
  <c r="P30" i="4" s="1"/>
  <c r="Q30" i="4" s="1"/>
  <c r="C52" i="8"/>
  <c r="I52" i="8" s="1"/>
  <c r="D51" i="8"/>
  <c r="D29" i="4" s="1"/>
  <c r="E51" i="8"/>
  <c r="E29" i="4" s="1"/>
  <c r="F51" i="8"/>
  <c r="F29" i="4" s="1"/>
  <c r="G51" i="8"/>
  <c r="G29" i="4" s="1"/>
  <c r="H29" i="4" s="1"/>
  <c r="I29" i="4" s="1"/>
  <c r="J29" i="4" s="1"/>
  <c r="K29" i="4" s="1"/>
  <c r="L29" i="4" s="1"/>
  <c r="M29" i="4" s="1"/>
  <c r="N29" i="4" s="1"/>
  <c r="O29" i="4" s="1"/>
  <c r="P29" i="4" s="1"/>
  <c r="Q29" i="4" s="1"/>
  <c r="C51" i="8"/>
  <c r="C29" i="4" s="1"/>
  <c r="G50" i="8"/>
  <c r="G28" i="4" s="1"/>
  <c r="C15" i="15" s="1"/>
  <c r="D12" i="15" s="1"/>
  <c r="F50" i="8"/>
  <c r="F28" i="4" s="1"/>
  <c r="C12" i="15" s="1"/>
  <c r="E50" i="8"/>
  <c r="E28" i="4" s="1"/>
  <c r="D50" i="8"/>
  <c r="D28" i="4" s="1"/>
  <c r="C50" i="8"/>
  <c r="C28" i="4" s="1"/>
  <c r="D49" i="8"/>
  <c r="D27" i="4" s="1"/>
  <c r="D16" i="14" s="1"/>
  <c r="E49" i="8"/>
  <c r="E27" i="4" s="1"/>
  <c r="E16" i="14" s="1"/>
  <c r="F49" i="8"/>
  <c r="F27" i="4" s="1"/>
  <c r="F16" i="14" s="1"/>
  <c r="G49" i="8"/>
  <c r="G27" i="4" s="1"/>
  <c r="G16" i="14" s="1"/>
  <c r="C49" i="8"/>
  <c r="C27" i="4" s="1"/>
  <c r="C16" i="14" s="1"/>
  <c r="D48" i="8"/>
  <c r="D26" i="4" s="1"/>
  <c r="D14" i="14" s="1"/>
  <c r="E48" i="8"/>
  <c r="E26" i="4" s="1"/>
  <c r="F48" i="8"/>
  <c r="F26" i="4" s="1"/>
  <c r="F14" i="14" s="1"/>
  <c r="G48" i="8"/>
  <c r="G26" i="4" s="1"/>
  <c r="C48" i="8"/>
  <c r="C26" i="4" s="1"/>
  <c r="C14" i="14" s="1"/>
  <c r="D44" i="8"/>
  <c r="D20" i="4" s="1"/>
  <c r="E44" i="8"/>
  <c r="E20" i="4" s="1"/>
  <c r="F44" i="8"/>
  <c r="G44" i="8"/>
  <c r="C44" i="8"/>
  <c r="C20" i="4" s="1"/>
  <c r="D43" i="8"/>
  <c r="D18" i="4" s="1"/>
  <c r="E43" i="8"/>
  <c r="E18" i="4" s="1"/>
  <c r="F43" i="8"/>
  <c r="F18" i="4" s="1"/>
  <c r="G43" i="8"/>
  <c r="G18" i="4" s="1"/>
  <c r="C7" i="13" s="1"/>
  <c r="C43" i="8"/>
  <c r="C18" i="4" s="1"/>
  <c r="D42" i="8"/>
  <c r="D17" i="4" s="1"/>
  <c r="E42" i="8"/>
  <c r="E17" i="4" s="1"/>
  <c r="F42" i="8"/>
  <c r="F17" i="4" s="1"/>
  <c r="G42" i="8"/>
  <c r="G17" i="4" s="1"/>
  <c r="C6" i="13" s="1"/>
  <c r="C42" i="8"/>
  <c r="C17" i="4" s="1"/>
  <c r="D41" i="8"/>
  <c r="D16" i="4" s="1"/>
  <c r="E41" i="8"/>
  <c r="E16" i="4" s="1"/>
  <c r="F41" i="8"/>
  <c r="F16" i="4" s="1"/>
  <c r="G41" i="8"/>
  <c r="G16" i="4" s="1"/>
  <c r="C41" i="8"/>
  <c r="G38" i="8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F38" i="8"/>
  <c r="F12" i="4" s="1"/>
  <c r="E38" i="8"/>
  <c r="E12" i="4" s="1"/>
  <c r="D38" i="8"/>
  <c r="D12" i="4" s="1"/>
  <c r="C38" i="8"/>
  <c r="C12" i="4" s="1"/>
  <c r="D37" i="8"/>
  <c r="D11" i="4" s="1"/>
  <c r="D9" i="14" s="1"/>
  <c r="E37" i="8"/>
  <c r="E11" i="4" s="1"/>
  <c r="E9" i="14" s="1"/>
  <c r="F37" i="8"/>
  <c r="F11" i="4" s="1"/>
  <c r="F9" i="14" s="1"/>
  <c r="G37" i="8"/>
  <c r="G11" i="4" s="1"/>
  <c r="G9" i="14" s="1"/>
  <c r="C37" i="8"/>
  <c r="C11" i="4" s="1"/>
  <c r="C9" i="14" s="1"/>
  <c r="D36" i="8"/>
  <c r="D10" i="4" s="1"/>
  <c r="D5" i="14" s="1"/>
  <c r="E36" i="8"/>
  <c r="E10" i="4" s="1"/>
  <c r="E5" i="14" s="1"/>
  <c r="F36" i="8"/>
  <c r="F10" i="4" s="1"/>
  <c r="F5" i="14" s="1"/>
  <c r="G36" i="8"/>
  <c r="G10" i="4" s="1"/>
  <c r="G5" i="14" s="1"/>
  <c r="C36" i="8"/>
  <c r="C10" i="4" s="1"/>
  <c r="C5" i="14" s="1"/>
  <c r="D35" i="8"/>
  <c r="D9" i="4" s="1"/>
  <c r="D7" i="14" s="1"/>
  <c r="E35" i="8"/>
  <c r="E9" i="4" s="1"/>
  <c r="E7" i="14" s="1"/>
  <c r="F35" i="8"/>
  <c r="F9" i="4" s="1"/>
  <c r="F7" i="14" s="1"/>
  <c r="G35" i="8"/>
  <c r="G9" i="4" s="1"/>
  <c r="G7" i="14" s="1"/>
  <c r="C35" i="8"/>
  <c r="C9" i="4" s="1"/>
  <c r="C7" i="14" s="1"/>
  <c r="G34" i="8"/>
  <c r="G8" i="4" s="1"/>
  <c r="H8" i="4" s="1"/>
  <c r="I8" i="4" s="1"/>
  <c r="J8" i="4" s="1"/>
  <c r="K8" i="4" s="1"/>
  <c r="L8" i="4" s="1"/>
  <c r="M8" i="4" s="1"/>
  <c r="N8" i="4" s="1"/>
  <c r="O8" i="4" s="1"/>
  <c r="P8" i="4" s="1"/>
  <c r="Q8" i="4" s="1"/>
  <c r="F34" i="8"/>
  <c r="F8" i="4" s="1"/>
  <c r="E34" i="8"/>
  <c r="E8" i="4" s="1"/>
  <c r="D34" i="8"/>
  <c r="D8" i="4" s="1"/>
  <c r="D33" i="8"/>
  <c r="D7" i="4" s="1"/>
  <c r="E33" i="8"/>
  <c r="E7" i="4" s="1"/>
  <c r="F33" i="8"/>
  <c r="F7" i="4" s="1"/>
  <c r="G33" i="8"/>
  <c r="G7" i="4" s="1"/>
  <c r="C43" i="15" s="1"/>
  <c r="C33" i="8"/>
  <c r="C7" i="4" s="1"/>
  <c r="E13" i="4" l="1"/>
  <c r="C20" i="15"/>
  <c r="C39" i="4"/>
  <c r="C31" i="15"/>
  <c r="D28" i="15" s="1"/>
  <c r="D31" i="15" s="1"/>
  <c r="E28" i="15" s="1"/>
  <c r="E31" i="15" s="1"/>
  <c r="F28" i="15" s="1"/>
  <c r="F31" i="15" s="1"/>
  <c r="G28" i="15" s="1"/>
  <c r="G31" i="15" s="1"/>
  <c r="H28" i="15" s="1"/>
  <c r="H31" i="15" s="1"/>
  <c r="I28" i="15" s="1"/>
  <c r="I31" i="15" s="1"/>
  <c r="J28" i="15" s="1"/>
  <c r="J31" i="15" s="1"/>
  <c r="K28" i="15" s="1"/>
  <c r="K31" i="15" s="1"/>
  <c r="L28" i="15" s="1"/>
  <c r="L31" i="15" s="1"/>
  <c r="M28" i="15" s="1"/>
  <c r="M31" i="15" s="1"/>
  <c r="C48" i="4"/>
  <c r="H31" i="4"/>
  <c r="I31" i="4" s="1"/>
  <c r="J31" i="4" s="1"/>
  <c r="K31" i="4" s="1"/>
  <c r="L31" i="4" s="1"/>
  <c r="M31" i="4" s="1"/>
  <c r="N31" i="4" s="1"/>
  <c r="O31" i="4" s="1"/>
  <c r="P31" i="4" s="1"/>
  <c r="Q31" i="4" s="1"/>
  <c r="D48" i="4"/>
  <c r="C17" i="15"/>
  <c r="D17" i="15" s="1"/>
  <c r="E17" i="15" s="1"/>
  <c r="F17" i="15" s="1"/>
  <c r="G17" i="15" s="1"/>
  <c r="H17" i="15" s="1"/>
  <c r="I17" i="15" s="1"/>
  <c r="C5" i="13"/>
  <c r="G19" i="4"/>
  <c r="G21" i="4" s="1"/>
  <c r="G23" i="4" s="1"/>
  <c r="E48" i="4"/>
  <c r="E19" i="4"/>
  <c r="E21" i="4" s="1"/>
  <c r="G39" i="4"/>
  <c r="C23" i="15"/>
  <c r="D20" i="15" s="1"/>
  <c r="D23" i="15" s="1"/>
  <c r="E20" i="15" s="1"/>
  <c r="E23" i="15" s="1"/>
  <c r="E39" i="4"/>
  <c r="D5" i="15"/>
  <c r="F19" i="4"/>
  <c r="F21" i="4" s="1"/>
  <c r="C19" i="4"/>
  <c r="C21" i="4" s="1"/>
  <c r="D19" i="4"/>
  <c r="D21" i="4" s="1"/>
  <c r="D39" i="4"/>
  <c r="D32" i="4"/>
  <c r="D41" i="4" s="1"/>
  <c r="D50" i="4" s="1"/>
  <c r="E32" i="4"/>
  <c r="E41" i="4" s="1"/>
  <c r="E50" i="4" s="1"/>
  <c r="E14" i="14"/>
  <c r="F32" i="4"/>
  <c r="F39" i="4"/>
  <c r="D13" i="4"/>
  <c r="F48" i="4"/>
  <c r="G32" i="4"/>
  <c r="G41" i="4" s="1"/>
  <c r="G48" i="4"/>
  <c r="F13" i="4"/>
  <c r="C30" i="4"/>
  <c r="C32" i="4" s="1"/>
  <c r="C41" i="4" s="1"/>
  <c r="C5" i="15"/>
  <c r="I35" i="8"/>
  <c r="G14" i="14"/>
  <c r="C13" i="4"/>
  <c r="L38" i="4"/>
  <c r="K45" i="4"/>
  <c r="L45" i="4" s="1"/>
  <c r="M45" i="4" s="1"/>
  <c r="N45" i="4" s="1"/>
  <c r="O45" i="4" s="1"/>
  <c r="P45" i="4" s="1"/>
  <c r="Q45" i="4" s="1"/>
  <c r="L44" i="4"/>
  <c r="E23" i="4"/>
  <c r="I57" i="8"/>
  <c r="I63" i="8"/>
  <c r="I42" i="8"/>
  <c r="I43" i="8"/>
  <c r="I34" i="8"/>
  <c r="I51" i="8"/>
  <c r="I44" i="8"/>
  <c r="I58" i="8"/>
  <c r="I66" i="8"/>
  <c r="I36" i="8"/>
  <c r="I38" i="8"/>
  <c r="I65" i="8"/>
  <c r="I41" i="8"/>
  <c r="I48" i="8"/>
  <c r="I53" i="8"/>
  <c r="I49" i="8"/>
  <c r="I37" i="8"/>
  <c r="I56" i="8"/>
  <c r="I64" i="8"/>
  <c r="I59" i="8"/>
  <c r="I33" i="8"/>
  <c r="I50" i="8"/>
  <c r="D60" i="8"/>
  <c r="C67" i="8"/>
  <c r="F67" i="8"/>
  <c r="D67" i="8"/>
  <c r="G67" i="8"/>
  <c r="E60" i="8"/>
  <c r="E67" i="8"/>
  <c r="C60" i="8"/>
  <c r="F54" i="8"/>
  <c r="E54" i="8"/>
  <c r="G39" i="8"/>
  <c r="G54" i="8"/>
  <c r="D54" i="8"/>
  <c r="G60" i="8"/>
  <c r="C45" i="8"/>
  <c r="F60" i="8"/>
  <c r="C39" i="8"/>
  <c r="D39" i="8"/>
  <c r="C54" i="8"/>
  <c r="G45" i="8"/>
  <c r="E39" i="8"/>
  <c r="E45" i="8"/>
  <c r="F45" i="8"/>
  <c r="D45" i="8"/>
  <c r="F39" i="8"/>
  <c r="G34" i="7" l="1"/>
  <c r="G51" i="7"/>
  <c r="G18" i="7"/>
  <c r="G21" i="7"/>
  <c r="C50" i="4"/>
  <c r="E52" i="4"/>
  <c r="F23" i="4"/>
  <c r="C33" i="15"/>
  <c r="D33" i="15" s="1"/>
  <c r="D32" i="15" s="1"/>
  <c r="H36" i="4"/>
  <c r="C25" i="15"/>
  <c r="D25" i="15" s="1"/>
  <c r="D24" i="15" s="1"/>
  <c r="H35" i="4"/>
  <c r="F41" i="4"/>
  <c r="C23" i="4"/>
  <c r="D23" i="4"/>
  <c r="G50" i="4"/>
  <c r="G52" i="4" s="1"/>
  <c r="F50" i="4"/>
  <c r="F52" i="4" s="1"/>
  <c r="L36" i="4"/>
  <c r="I36" i="4"/>
  <c r="N36" i="4"/>
  <c r="M36" i="4"/>
  <c r="P36" i="4"/>
  <c r="K36" i="4"/>
  <c r="E33" i="15"/>
  <c r="F33" i="15" s="1"/>
  <c r="O36" i="4"/>
  <c r="Q36" i="4"/>
  <c r="J36" i="4"/>
  <c r="F20" i="15"/>
  <c r="F23" i="15" s="1"/>
  <c r="I35" i="4"/>
  <c r="J17" i="15"/>
  <c r="M38" i="4"/>
  <c r="M44" i="4"/>
  <c r="D61" i="8"/>
  <c r="D68" i="8" s="1"/>
  <c r="I45" i="8"/>
  <c r="I60" i="8"/>
  <c r="I54" i="8"/>
  <c r="I39" i="8"/>
  <c r="I67" i="8"/>
  <c r="E61" i="8"/>
  <c r="E68" i="8" s="1"/>
  <c r="C61" i="8"/>
  <c r="F61" i="8"/>
  <c r="F68" i="8" s="1"/>
  <c r="C46" i="8"/>
  <c r="G61" i="8"/>
  <c r="G68" i="8" s="1"/>
  <c r="F46" i="8"/>
  <c r="G46" i="8"/>
  <c r="D46" i="8"/>
  <c r="E46" i="8"/>
  <c r="E25" i="15" l="1"/>
  <c r="E24" i="15" s="1"/>
  <c r="D52" i="4"/>
  <c r="C52" i="4"/>
  <c r="E32" i="15"/>
  <c r="G20" i="15"/>
  <c r="G23" i="15" s="1"/>
  <c r="J35" i="4"/>
  <c r="F25" i="15"/>
  <c r="G25" i="15" s="1"/>
  <c r="F32" i="15"/>
  <c r="G33" i="15"/>
  <c r="K17" i="15"/>
  <c r="N38" i="4"/>
  <c r="N44" i="4"/>
  <c r="C68" i="8"/>
  <c r="I68" i="8" s="1"/>
  <c r="I61" i="8"/>
  <c r="I46" i="8"/>
  <c r="H20" i="15" l="1"/>
  <c r="H23" i="15" s="1"/>
  <c r="K35" i="4"/>
  <c r="F24" i="15"/>
  <c r="G32" i="15"/>
  <c r="H33" i="15"/>
  <c r="G24" i="15"/>
  <c r="H25" i="15"/>
  <c r="L17" i="15"/>
  <c r="O38" i="4"/>
  <c r="O44" i="4"/>
  <c r="I20" i="15" l="1"/>
  <c r="I23" i="15" s="1"/>
  <c r="L35" i="4"/>
  <c r="H32" i="15"/>
  <c r="I33" i="15"/>
  <c r="H24" i="15"/>
  <c r="I25" i="15"/>
  <c r="M17" i="15"/>
  <c r="P38" i="4"/>
  <c r="P44" i="4"/>
  <c r="J20" i="15" l="1"/>
  <c r="J23" i="15" s="1"/>
  <c r="M35" i="4"/>
  <c r="I32" i="15"/>
  <c r="J33" i="15"/>
  <c r="I24" i="15"/>
  <c r="J25" i="15"/>
  <c r="Q38" i="4"/>
  <c r="Q44" i="4"/>
  <c r="K20" i="15" l="1"/>
  <c r="K23" i="15" s="1"/>
  <c r="N35" i="4"/>
  <c r="J32" i="15"/>
  <c r="K33" i="15"/>
  <c r="K25" i="15"/>
  <c r="J24" i="15"/>
  <c r="L20" i="15" l="1"/>
  <c r="L23" i="15" s="1"/>
  <c r="O35" i="4"/>
  <c r="L33" i="15"/>
  <c r="K32" i="15"/>
  <c r="L25" i="15"/>
  <c r="K24" i="15"/>
  <c r="G97" i="8"/>
  <c r="D91" i="8"/>
  <c r="E91" i="8"/>
  <c r="F91" i="8"/>
  <c r="G91" i="8"/>
  <c r="C91" i="8"/>
  <c r="D90" i="8"/>
  <c r="E90" i="8"/>
  <c r="F90" i="8"/>
  <c r="G90" i="8"/>
  <c r="C90" i="8"/>
  <c r="C92" i="8"/>
  <c r="D92" i="8"/>
  <c r="D29" i="5" s="1"/>
  <c r="E92" i="8"/>
  <c r="E29" i="5" s="1"/>
  <c r="F92" i="8"/>
  <c r="F29" i="5" s="1"/>
  <c r="G92" i="8"/>
  <c r="G29" i="5" s="1"/>
  <c r="I92" i="8" l="1"/>
  <c r="M20" i="15"/>
  <c r="M23" i="15" s="1"/>
  <c r="Q35" i="4" s="1"/>
  <c r="P35" i="4"/>
  <c r="M33" i="15"/>
  <c r="M32" i="15" s="1"/>
  <c r="L32" i="15"/>
  <c r="M25" i="15"/>
  <c r="L24" i="15"/>
  <c r="C29" i="5"/>
  <c r="D100" i="8"/>
  <c r="E100" i="8"/>
  <c r="F100" i="8"/>
  <c r="G100" i="8"/>
  <c r="C100" i="8"/>
  <c r="D98" i="8"/>
  <c r="D36" i="5" s="1"/>
  <c r="E98" i="8"/>
  <c r="F98" i="8"/>
  <c r="F36" i="5" s="1"/>
  <c r="G98" i="8"/>
  <c r="G36" i="5" s="1"/>
  <c r="C98" i="8"/>
  <c r="D97" i="8"/>
  <c r="E97" i="8"/>
  <c r="F97" i="8"/>
  <c r="C97" i="8"/>
  <c r="D93" i="8"/>
  <c r="D30" i="5" s="1"/>
  <c r="E93" i="8"/>
  <c r="E30" i="5" s="1"/>
  <c r="F93" i="8"/>
  <c r="F30" i="5" s="1"/>
  <c r="G93" i="8"/>
  <c r="G30" i="5" s="1"/>
  <c r="D94" i="8"/>
  <c r="D31" i="5" s="1"/>
  <c r="E94" i="8"/>
  <c r="E31" i="5" s="1"/>
  <c r="F94" i="8"/>
  <c r="F31" i="5" s="1"/>
  <c r="G94" i="8"/>
  <c r="G31" i="5" s="1"/>
  <c r="D32" i="5"/>
  <c r="E32" i="5"/>
  <c r="F32" i="5"/>
  <c r="G32" i="5"/>
  <c r="C94" i="8"/>
  <c r="C31" i="5" s="1"/>
  <c r="C32" i="5"/>
  <c r="C93" i="8"/>
  <c r="C30" i="5" s="1"/>
  <c r="C28" i="5"/>
  <c r="D28" i="5"/>
  <c r="E28" i="5"/>
  <c r="F28" i="5"/>
  <c r="G28" i="5"/>
  <c r="D27" i="5"/>
  <c r="F27" i="5"/>
  <c r="G27" i="5"/>
  <c r="C27" i="5"/>
  <c r="C85" i="8"/>
  <c r="C20" i="5" s="1"/>
  <c r="D85" i="8"/>
  <c r="D20" i="5" s="1"/>
  <c r="E85" i="8"/>
  <c r="E20" i="5" s="1"/>
  <c r="F85" i="8"/>
  <c r="F20" i="5" s="1"/>
  <c r="G85" i="8"/>
  <c r="C86" i="8"/>
  <c r="C21" i="5" s="1"/>
  <c r="D86" i="8"/>
  <c r="D21" i="5" s="1"/>
  <c r="E86" i="8"/>
  <c r="E21" i="5" s="1"/>
  <c r="F86" i="8"/>
  <c r="F21" i="5" s="1"/>
  <c r="G86" i="8"/>
  <c r="G21" i="5" s="1"/>
  <c r="C87" i="8"/>
  <c r="C22" i="5" s="1"/>
  <c r="D87" i="8"/>
  <c r="D22" i="5" s="1"/>
  <c r="E87" i="8"/>
  <c r="E22" i="5" s="1"/>
  <c r="F87" i="8"/>
  <c r="F22" i="5" s="1"/>
  <c r="G87" i="8"/>
  <c r="G22" i="5" s="1"/>
  <c r="C88" i="8"/>
  <c r="C23" i="5" s="1"/>
  <c r="D88" i="8"/>
  <c r="D23" i="5" s="1"/>
  <c r="E88" i="8"/>
  <c r="E23" i="5" s="1"/>
  <c r="F88" i="8"/>
  <c r="F23" i="5" s="1"/>
  <c r="G88" i="8"/>
  <c r="G23" i="5" s="1"/>
  <c r="D84" i="8"/>
  <c r="E84" i="8"/>
  <c r="F84" i="8"/>
  <c r="G84" i="8"/>
  <c r="C84" i="8"/>
  <c r="D77" i="8"/>
  <c r="E77" i="8"/>
  <c r="F77" i="8"/>
  <c r="G77" i="8"/>
  <c r="C77" i="8"/>
  <c r="D80" i="8"/>
  <c r="D13" i="5" s="1"/>
  <c r="E80" i="8"/>
  <c r="E13" i="5" s="1"/>
  <c r="F80" i="8"/>
  <c r="F13" i="5" s="1"/>
  <c r="G80" i="8"/>
  <c r="G13" i="5" s="1"/>
  <c r="D81" i="8"/>
  <c r="E81" i="8"/>
  <c r="F81" i="8"/>
  <c r="G81" i="8"/>
  <c r="D82" i="8"/>
  <c r="E82" i="8"/>
  <c r="F82" i="8"/>
  <c r="G82" i="8"/>
  <c r="C81" i="8"/>
  <c r="C82" i="8"/>
  <c r="C80" i="8"/>
  <c r="C13" i="5" s="1"/>
  <c r="C79" i="8"/>
  <c r="C11" i="5" s="1"/>
  <c r="D79" i="8"/>
  <c r="E79" i="8"/>
  <c r="E11" i="5" s="1"/>
  <c r="F79" i="8"/>
  <c r="F11" i="5" s="1"/>
  <c r="G79" i="8"/>
  <c r="G11" i="5" s="1"/>
  <c r="D78" i="8"/>
  <c r="D10" i="5" s="1"/>
  <c r="E78" i="8"/>
  <c r="E10" i="5" s="1"/>
  <c r="F78" i="8"/>
  <c r="F10" i="5" s="1"/>
  <c r="G78" i="8"/>
  <c r="G10" i="5" s="1"/>
  <c r="C78" i="8"/>
  <c r="D76" i="8"/>
  <c r="E76" i="8"/>
  <c r="F76" i="8"/>
  <c r="G76" i="8"/>
  <c r="C76" i="8"/>
  <c r="D75" i="8"/>
  <c r="E75" i="8"/>
  <c r="F75" i="8"/>
  <c r="G75" i="8"/>
  <c r="C75" i="8"/>
  <c r="D74" i="8"/>
  <c r="E74" i="8"/>
  <c r="F74" i="8"/>
  <c r="G74" i="8"/>
  <c r="C74" i="8"/>
  <c r="G72" i="8"/>
  <c r="F72" i="8"/>
  <c r="E72" i="8"/>
  <c r="D72" i="8"/>
  <c r="C72" i="8"/>
  <c r="D73" i="8"/>
  <c r="E73" i="8"/>
  <c r="F73" i="8"/>
  <c r="G73" i="8"/>
  <c r="C73" i="8"/>
  <c r="C13" i="8"/>
  <c r="C44" i="7" s="1"/>
  <c r="D13" i="8"/>
  <c r="D44" i="7" s="1"/>
  <c r="E13" i="8"/>
  <c r="E44" i="7" s="1"/>
  <c r="F13" i="8"/>
  <c r="F44" i="7" s="1"/>
  <c r="G13" i="8"/>
  <c r="G44" i="7" s="1"/>
  <c r="I15" i="3"/>
  <c r="C19" i="8"/>
  <c r="D19" i="8"/>
  <c r="E19" i="8"/>
  <c r="F19" i="8"/>
  <c r="G19" i="8"/>
  <c r="C23" i="8"/>
  <c r="D23" i="8"/>
  <c r="E23" i="8"/>
  <c r="F23" i="8"/>
  <c r="G23" i="8"/>
  <c r="C7" i="3"/>
  <c r="Q15" i="14"/>
  <c r="P15" i="14"/>
  <c r="O15" i="14"/>
  <c r="N15" i="14"/>
  <c r="M15" i="14"/>
  <c r="L15" i="14"/>
  <c r="K15" i="14"/>
  <c r="J15" i="14"/>
  <c r="I15" i="14"/>
  <c r="D54" i="2"/>
  <c r="J26" i="2"/>
  <c r="K26" i="2" s="1"/>
  <c r="L26" i="2" s="1"/>
  <c r="M26" i="2" s="1"/>
  <c r="H26" i="2"/>
  <c r="I26" i="2" s="1"/>
  <c r="G26" i="2"/>
  <c r="F26" i="2"/>
  <c r="E26" i="2"/>
  <c r="D26" i="2"/>
  <c r="D19" i="2"/>
  <c r="H25" i="16" s="1"/>
  <c r="I25" i="16" s="1"/>
  <c r="E18" i="2"/>
  <c r="I23" i="16" s="1"/>
  <c r="J23" i="16" s="1"/>
  <c r="K23" i="16" s="1"/>
  <c r="L23" i="16" s="1"/>
  <c r="M23" i="16" s="1"/>
  <c r="N23" i="16" s="1"/>
  <c r="O23" i="16" s="1"/>
  <c r="P23" i="16" s="1"/>
  <c r="Q23" i="16" s="1"/>
  <c r="I188" i="1"/>
  <c r="G6" i="8" s="1"/>
  <c r="H188" i="1"/>
  <c r="F6" i="8" s="1"/>
  <c r="G188" i="1"/>
  <c r="E6" i="8" s="1"/>
  <c r="F188" i="1"/>
  <c r="D6" i="8" s="1"/>
  <c r="E188" i="1"/>
  <c r="C6" i="8" s="1"/>
  <c r="D188" i="1"/>
  <c r="I187" i="1"/>
  <c r="H187" i="1"/>
  <c r="G187" i="1"/>
  <c r="F187" i="1"/>
  <c r="E187" i="1"/>
  <c r="C28" i="16" s="1"/>
  <c r="D187" i="1"/>
  <c r="I186" i="1"/>
  <c r="H186" i="1"/>
  <c r="G186" i="1"/>
  <c r="F186" i="1"/>
  <c r="E186" i="1"/>
  <c r="D186" i="1"/>
  <c r="I185" i="1"/>
  <c r="H185" i="1"/>
  <c r="G185" i="1"/>
  <c r="F185" i="1"/>
  <c r="E185" i="1"/>
  <c r="D185" i="1"/>
  <c r="I184" i="1"/>
  <c r="H184" i="1"/>
  <c r="G184" i="1"/>
  <c r="F184" i="1"/>
  <c r="E184" i="1"/>
  <c r="D184" i="1"/>
  <c r="I183" i="1"/>
  <c r="H183" i="1"/>
  <c r="G183" i="1"/>
  <c r="F183" i="1"/>
  <c r="E183" i="1"/>
  <c r="C181" i="1"/>
  <c r="C180" i="1"/>
  <c r="C179" i="1"/>
  <c r="C178" i="1"/>
  <c r="C177" i="1"/>
  <c r="F90" i="1"/>
  <c r="F93" i="1" s="1"/>
  <c r="G103" i="1"/>
  <c r="G114" i="1"/>
  <c r="D103" i="1"/>
  <c r="E103" i="1"/>
  <c r="F103" i="1"/>
  <c r="H103" i="1"/>
  <c r="I103" i="1"/>
  <c r="C103" i="1"/>
  <c r="C114" i="1"/>
  <c r="D114" i="1"/>
  <c r="E114" i="1"/>
  <c r="F114" i="1"/>
  <c r="H114" i="1"/>
  <c r="I114" i="1"/>
  <c r="I90" i="1"/>
  <c r="I93" i="1" s="1"/>
  <c r="H90" i="1"/>
  <c r="H93" i="1" s="1"/>
  <c r="G90" i="1"/>
  <c r="G93" i="1" s="1"/>
  <c r="E90" i="1"/>
  <c r="E93" i="1" s="1"/>
  <c r="D90" i="1"/>
  <c r="D93" i="1" s="1"/>
  <c r="C90" i="1"/>
  <c r="C93" i="1" s="1"/>
  <c r="G27" i="8"/>
  <c r="F27" i="8"/>
  <c r="E27" i="8"/>
  <c r="D27" i="8"/>
  <c r="C27" i="8"/>
  <c r="G24" i="8"/>
  <c r="G38" i="3" s="1"/>
  <c r="H38" i="3" s="1"/>
  <c r="I38" i="3" s="1"/>
  <c r="J38" i="3" s="1"/>
  <c r="K38" i="3" s="1"/>
  <c r="L38" i="3" s="1"/>
  <c r="M38" i="3" s="1"/>
  <c r="N38" i="3" s="1"/>
  <c r="O38" i="3" s="1"/>
  <c r="P38" i="3" s="1"/>
  <c r="Q38" i="3" s="1"/>
  <c r="F24" i="8"/>
  <c r="F38" i="3" s="1"/>
  <c r="E24" i="8"/>
  <c r="E38" i="3" s="1"/>
  <c r="D24" i="8"/>
  <c r="D38" i="3" s="1"/>
  <c r="C24" i="8"/>
  <c r="C38" i="3" s="1"/>
  <c r="G22" i="8"/>
  <c r="G34" i="3" s="1"/>
  <c r="F22" i="8"/>
  <c r="F34" i="3" s="1"/>
  <c r="E22" i="8"/>
  <c r="E34" i="3" s="1"/>
  <c r="D22" i="8"/>
  <c r="D34" i="3" s="1"/>
  <c r="C22" i="8"/>
  <c r="C34" i="3" s="1"/>
  <c r="G20" i="8"/>
  <c r="G31" i="3" s="1"/>
  <c r="F20" i="8"/>
  <c r="F31" i="3" s="1"/>
  <c r="E20" i="8"/>
  <c r="E31" i="3" s="1"/>
  <c r="D20" i="8"/>
  <c r="D31" i="3" s="1"/>
  <c r="C20" i="8"/>
  <c r="C31" i="3" s="1"/>
  <c r="G18" i="8"/>
  <c r="G28" i="3" s="1"/>
  <c r="F18" i="8"/>
  <c r="F28" i="3" s="1"/>
  <c r="E18" i="8"/>
  <c r="E28" i="3" s="1"/>
  <c r="D18" i="8"/>
  <c r="D28" i="3" s="1"/>
  <c r="C18" i="8"/>
  <c r="C28" i="3" s="1"/>
  <c r="G16" i="8"/>
  <c r="F16" i="8"/>
  <c r="E16" i="8"/>
  <c r="D16" i="8"/>
  <c r="C16" i="8"/>
  <c r="G17" i="8"/>
  <c r="G27" i="3" s="1"/>
  <c r="C40" i="15" s="1"/>
  <c r="C41" i="15" s="1"/>
  <c r="F17" i="8"/>
  <c r="F27" i="3" s="1"/>
  <c r="E17" i="8"/>
  <c r="E27" i="3" s="1"/>
  <c r="D17" i="8"/>
  <c r="D27" i="3" s="1"/>
  <c r="C17" i="8"/>
  <c r="C27" i="3" s="1"/>
  <c r="G15" i="8"/>
  <c r="F15" i="8"/>
  <c r="E15" i="8"/>
  <c r="D15" i="8"/>
  <c r="C15" i="8"/>
  <c r="C10" i="8"/>
  <c r="D10" i="8"/>
  <c r="E10" i="8"/>
  <c r="F10" i="8"/>
  <c r="G10" i="8"/>
  <c r="C11" i="8"/>
  <c r="D11" i="8"/>
  <c r="E11" i="8"/>
  <c r="F11" i="8"/>
  <c r="G11" i="8"/>
  <c r="G8" i="8"/>
  <c r="F8" i="8"/>
  <c r="E8" i="8"/>
  <c r="D8" i="8"/>
  <c r="C8" i="8"/>
  <c r="C7" i="8"/>
  <c r="C8" i="3" s="1"/>
  <c r="D7" i="8"/>
  <c r="D8" i="3" s="1"/>
  <c r="E7" i="8"/>
  <c r="E8" i="3" s="1"/>
  <c r="F7" i="8"/>
  <c r="F8" i="3" s="1"/>
  <c r="G7" i="8"/>
  <c r="G8" i="3" s="1"/>
  <c r="M32" i="2" l="1"/>
  <c r="E5" i="10"/>
  <c r="E7" i="10" s="1"/>
  <c r="M24" i="15"/>
  <c r="D32" i="2"/>
  <c r="G99" i="8"/>
  <c r="C96" i="8"/>
  <c r="G15" i="5"/>
  <c r="I15" i="8"/>
  <c r="I19" i="8"/>
  <c r="I11" i="8"/>
  <c r="I24" i="8"/>
  <c r="I6" i="8"/>
  <c r="E15" i="5"/>
  <c r="E17" i="5" s="1"/>
  <c r="F45" i="7"/>
  <c r="I8" i="8"/>
  <c r="I16" i="8"/>
  <c r="I27" i="8"/>
  <c r="I17" i="8"/>
  <c r="I18" i="8"/>
  <c r="C15" i="5"/>
  <c r="F15" i="5"/>
  <c r="C19" i="5"/>
  <c r="C24" i="5" s="1"/>
  <c r="C45" i="7"/>
  <c r="G19" i="5"/>
  <c r="G45" i="7"/>
  <c r="I20" i="8"/>
  <c r="I22" i="8"/>
  <c r="D15" i="5"/>
  <c r="D17" i="5" s="1"/>
  <c r="E19" i="5"/>
  <c r="E24" i="5" s="1"/>
  <c r="E45" i="7"/>
  <c r="D45" i="7"/>
  <c r="I7" i="8"/>
  <c r="I10" i="8"/>
  <c r="I23" i="8"/>
  <c r="I13" i="8"/>
  <c r="I26" i="16"/>
  <c r="J25" i="16"/>
  <c r="K25" i="16" s="1"/>
  <c r="L25" i="16" s="1"/>
  <c r="M25" i="16" s="1"/>
  <c r="N25" i="16" s="1"/>
  <c r="O25" i="16" s="1"/>
  <c r="P25" i="16" s="1"/>
  <c r="Q25" i="16" s="1"/>
  <c r="E32" i="2"/>
  <c r="F32" i="2"/>
  <c r="G32" i="2"/>
  <c r="D99" i="8"/>
  <c r="G83" i="8"/>
  <c r="C9" i="5"/>
  <c r="E96" i="8"/>
  <c r="D9" i="5"/>
  <c r="I78" i="8"/>
  <c r="G89" i="8"/>
  <c r="C99" i="8"/>
  <c r="C10" i="5"/>
  <c r="I93" i="8"/>
  <c r="E99" i="8"/>
  <c r="E27" i="5"/>
  <c r="E33" i="5" s="1"/>
  <c r="I79" i="8"/>
  <c r="F89" i="8"/>
  <c r="G9" i="5"/>
  <c r="I76" i="8"/>
  <c r="F9" i="5"/>
  <c r="D89" i="8"/>
  <c r="E9" i="5"/>
  <c r="C33" i="5"/>
  <c r="I82" i="8"/>
  <c r="G96" i="8"/>
  <c r="D11" i="5"/>
  <c r="G20" i="5"/>
  <c r="F96" i="8"/>
  <c r="I90" i="8"/>
  <c r="D96" i="8"/>
  <c r="F19" i="5"/>
  <c r="F24" i="5" s="1"/>
  <c r="C89" i="8"/>
  <c r="C36" i="5"/>
  <c r="D19" i="5"/>
  <c r="D24" i="5" s="1"/>
  <c r="I80" i="8"/>
  <c r="I86" i="8"/>
  <c r="I77" i="8"/>
  <c r="I88" i="8"/>
  <c r="E89" i="8"/>
  <c r="E36" i="5"/>
  <c r="D33" i="5"/>
  <c r="F33" i="5"/>
  <c r="G33" i="5"/>
  <c r="I100" i="8"/>
  <c r="I98" i="8"/>
  <c r="F99" i="8"/>
  <c r="I95" i="8"/>
  <c r="I84" i="8"/>
  <c r="I75" i="8"/>
  <c r="I74" i="8"/>
  <c r="F83" i="8"/>
  <c r="E83" i="8"/>
  <c r="I81" i="8"/>
  <c r="I72" i="8"/>
  <c r="I73" i="8"/>
  <c r="I91" i="8"/>
  <c r="I94" i="8"/>
  <c r="I85" i="8"/>
  <c r="I87" i="8"/>
  <c r="I97" i="8"/>
  <c r="C83" i="8"/>
  <c r="D83" i="8"/>
  <c r="D13" i="3"/>
  <c r="F26" i="3"/>
  <c r="D26" i="3"/>
  <c r="G26" i="3"/>
  <c r="C13" i="3"/>
  <c r="C17" i="3" s="1"/>
  <c r="E26" i="3"/>
  <c r="C26" i="3"/>
  <c r="G19" i="16"/>
  <c r="H19" i="16" s="1"/>
  <c r="I19" i="16" s="1"/>
  <c r="J19" i="16" s="1"/>
  <c r="K19" i="16" s="1"/>
  <c r="L19" i="16" s="1"/>
  <c r="M19" i="16" s="1"/>
  <c r="N19" i="16" s="1"/>
  <c r="O19" i="16" s="1"/>
  <c r="P19" i="16" s="1"/>
  <c r="Q19" i="16" s="1"/>
  <c r="G13" i="3"/>
  <c r="F13" i="3"/>
  <c r="E13" i="3"/>
  <c r="E19" i="16"/>
  <c r="F19" i="16"/>
  <c r="E21" i="16"/>
  <c r="G21" i="16"/>
  <c r="H21" i="16" s="1"/>
  <c r="I21" i="16" s="1"/>
  <c r="J21" i="16" s="1"/>
  <c r="K21" i="16" s="1"/>
  <c r="L21" i="16" s="1"/>
  <c r="M21" i="16" s="1"/>
  <c r="N21" i="16" s="1"/>
  <c r="O21" i="16" s="1"/>
  <c r="P21" i="16" s="1"/>
  <c r="Q21" i="16" s="1"/>
  <c r="F21" i="16"/>
  <c r="G28" i="16"/>
  <c r="G17" i="16"/>
  <c r="H17" i="16" s="1"/>
  <c r="I17" i="16" s="1"/>
  <c r="J17" i="16" s="1"/>
  <c r="K17" i="16" s="1"/>
  <c r="L17" i="16" s="1"/>
  <c r="M17" i="16" s="1"/>
  <c r="N17" i="16" s="1"/>
  <c r="O17" i="16" s="1"/>
  <c r="P17" i="16" s="1"/>
  <c r="Q17" i="16" s="1"/>
  <c r="F28" i="16"/>
  <c r="E28" i="16"/>
  <c r="D28" i="16"/>
  <c r="J24" i="16"/>
  <c r="H32" i="2"/>
  <c r="I32" i="2"/>
  <c r="J32" i="2"/>
  <c r="K32" i="2"/>
  <c r="L32" i="2"/>
  <c r="D115" i="1"/>
  <c r="D117" i="1" s="1"/>
  <c r="I115" i="1"/>
  <c r="I117" i="1" s="1"/>
  <c r="C115" i="1"/>
  <c r="C117" i="1" s="1"/>
  <c r="E115" i="1"/>
  <c r="E117" i="1" s="1"/>
  <c r="G115" i="1"/>
  <c r="G117" i="1" s="1"/>
  <c r="F115" i="1"/>
  <c r="F117" i="1" s="1"/>
  <c r="H115" i="1"/>
  <c r="H117" i="1" s="1"/>
  <c r="C22" i="3"/>
  <c r="C8" i="5" s="1"/>
  <c r="G22" i="3"/>
  <c r="F22" i="3"/>
  <c r="F8" i="5" s="1"/>
  <c r="E22" i="3"/>
  <c r="E8" i="5" s="1"/>
  <c r="D22" i="3"/>
  <c r="D8" i="5" s="1"/>
  <c r="D9" i="8"/>
  <c r="F10" i="7"/>
  <c r="E9" i="8"/>
  <c r="F9" i="8"/>
  <c r="C9" i="8"/>
  <c r="G9" i="8"/>
  <c r="G10" i="7"/>
  <c r="D10" i="7"/>
  <c r="E10" i="7"/>
  <c r="J32" i="10"/>
  <c r="J29" i="10"/>
  <c r="G8" i="5" l="1"/>
  <c r="J26" i="16"/>
  <c r="J45" i="7"/>
  <c r="I9" i="8"/>
  <c r="I45" i="7"/>
  <c r="G24" i="5"/>
  <c r="F17" i="3"/>
  <c r="G17" i="3"/>
  <c r="D17" i="3"/>
  <c r="E17" i="3"/>
  <c r="I89" i="8"/>
  <c r="I96" i="8"/>
  <c r="I83" i="8"/>
  <c r="I99" i="8"/>
  <c r="H22" i="16"/>
  <c r="G22" i="16"/>
  <c r="F20" i="16"/>
  <c r="I20" i="16"/>
  <c r="H18" i="16"/>
  <c r="G20" i="16"/>
  <c r="F22" i="16"/>
  <c r="H20" i="16"/>
  <c r="K24" i="16"/>
  <c r="I22" i="16"/>
  <c r="J20" i="16"/>
  <c r="K26" i="16"/>
  <c r="I18" i="16"/>
  <c r="C12" i="8"/>
  <c r="C14" i="8" s="1"/>
  <c r="G12" i="8"/>
  <c r="G14" i="8" s="1"/>
  <c r="F12" i="8"/>
  <c r="F14" i="8" s="1"/>
  <c r="E12" i="8"/>
  <c r="E14" i="8" s="1"/>
  <c r="D12" i="8"/>
  <c r="D14" i="8" l="1"/>
  <c r="I14" i="8" s="1"/>
  <c r="I12" i="8"/>
  <c r="J22" i="16"/>
  <c r="J18" i="16"/>
  <c r="L24" i="16"/>
  <c r="L26" i="16"/>
  <c r="K20" i="16"/>
  <c r="E7" i="7"/>
  <c r="F7" i="7"/>
  <c r="D7" i="7"/>
  <c r="G7" i="7"/>
  <c r="G87" i="10"/>
  <c r="G86" i="10"/>
  <c r="G85" i="10"/>
  <c r="G84" i="10"/>
  <c r="G83" i="10"/>
  <c r="G82" i="10"/>
  <c r="G81" i="10"/>
  <c r="G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M24" i="16" l="1"/>
  <c r="K18" i="16"/>
  <c r="L20" i="16"/>
  <c r="M26" i="16"/>
  <c r="K22" i="16"/>
  <c r="C21" i="8"/>
  <c r="D21" i="8"/>
  <c r="E8" i="7"/>
  <c r="E21" i="8"/>
  <c r="G8" i="7"/>
  <c r="G21" i="8"/>
  <c r="F8" i="7"/>
  <c r="D8" i="7"/>
  <c r="F21" i="8"/>
  <c r="I21" i="8" l="1"/>
  <c r="M20" i="16"/>
  <c r="N26" i="16"/>
  <c r="L22" i="16"/>
  <c r="N24" i="16"/>
  <c r="L18" i="16"/>
  <c r="M18" i="16" l="1"/>
  <c r="M22" i="16"/>
  <c r="N20" i="16"/>
  <c r="O24" i="16"/>
  <c r="O26" i="16"/>
  <c r="E25" i="8"/>
  <c r="E9" i="7"/>
  <c r="F9" i="7"/>
  <c r="G9" i="7"/>
  <c r="D9" i="7"/>
  <c r="G25" i="8"/>
  <c r="G28" i="8" s="1"/>
  <c r="G29" i="8" s="1"/>
  <c r="G47" i="7" s="1"/>
  <c r="D25" i="8"/>
  <c r="D28" i="8" s="1"/>
  <c r="D29" i="8" s="1"/>
  <c r="D47" i="7" s="1"/>
  <c r="F25" i="8"/>
  <c r="F28" i="8" s="1"/>
  <c r="F29" i="8" s="1"/>
  <c r="F47" i="7" s="1"/>
  <c r="C25" i="8"/>
  <c r="J34" i="10"/>
  <c r="J7" i="10" s="1"/>
  <c r="E28" i="8" l="1"/>
  <c r="E29" i="8" s="1"/>
  <c r="E47" i="7" s="1"/>
  <c r="I25" i="8"/>
  <c r="P26" i="16"/>
  <c r="Q26" i="16"/>
  <c r="O20" i="16"/>
  <c r="N18" i="16"/>
  <c r="Q24" i="16"/>
  <c r="P24" i="16"/>
  <c r="N22" i="16"/>
  <c r="D26" i="8"/>
  <c r="E26" i="8"/>
  <c r="C28" i="8"/>
  <c r="G26" i="8"/>
  <c r="F26" i="8"/>
  <c r="D6" i="14" l="1"/>
  <c r="F10" i="14"/>
  <c r="E6" i="14"/>
  <c r="D17" i="14"/>
  <c r="G10" i="14"/>
  <c r="G17" i="14"/>
  <c r="H17" i="14" s="1"/>
  <c r="F15" i="14"/>
  <c r="F6" i="14"/>
  <c r="E10" i="14"/>
  <c r="D10" i="14"/>
  <c r="E15" i="14"/>
  <c r="F18" i="14"/>
  <c r="D11" i="14"/>
  <c r="F11" i="14"/>
  <c r="F17" i="14"/>
  <c r="E11" i="14"/>
  <c r="G6" i="14"/>
  <c r="O22" i="16"/>
  <c r="Q20" i="16"/>
  <c r="P20" i="16"/>
  <c r="O18" i="16"/>
  <c r="I26" i="8"/>
  <c r="C29" i="8"/>
  <c r="I29" i="8" s="1"/>
  <c r="I28" i="8"/>
  <c r="F36" i="7"/>
  <c r="G36" i="7"/>
  <c r="D36" i="7"/>
  <c r="E36" i="7"/>
  <c r="D15" i="14" l="1"/>
  <c r="G18" i="14"/>
  <c r="C8" i="13"/>
  <c r="C11" i="13" s="1"/>
  <c r="D8" i="13" s="1"/>
  <c r="E17" i="14"/>
  <c r="G15" i="14"/>
  <c r="C11" i="14"/>
  <c r="F20" i="14"/>
  <c r="E18" i="14"/>
  <c r="E20" i="14" s="1"/>
  <c r="C18" i="14"/>
  <c r="G11" i="14"/>
  <c r="G20" i="14" s="1"/>
  <c r="D18" i="14"/>
  <c r="D20" i="14" s="1"/>
  <c r="Q18" i="16"/>
  <c r="P18" i="16"/>
  <c r="Q22" i="16"/>
  <c r="P22" i="16"/>
  <c r="C47" i="7"/>
  <c r="I39" i="7"/>
  <c r="J35" i="7"/>
  <c r="J36" i="7"/>
  <c r="I25" i="7"/>
  <c r="I17" i="7"/>
  <c r="I41" i="7"/>
  <c r="I36" i="7"/>
  <c r="J40" i="7"/>
  <c r="J29" i="7"/>
  <c r="J33" i="7"/>
  <c r="I35" i="7"/>
  <c r="I34" i="7"/>
  <c r="I29" i="7"/>
  <c r="I40" i="7"/>
  <c r="J27" i="7"/>
  <c r="J18" i="7"/>
  <c r="J39" i="7"/>
  <c r="J34" i="7"/>
  <c r="I33" i="7"/>
  <c r="J25" i="7"/>
  <c r="I27" i="7"/>
  <c r="J17" i="7"/>
  <c r="I18" i="7"/>
  <c r="J41" i="7"/>
  <c r="J16" i="10"/>
  <c r="C20" i="14" l="1"/>
  <c r="N17" i="14"/>
  <c r="L17" i="14"/>
  <c r="M17" i="14"/>
  <c r="K17" i="14"/>
  <c r="I17" i="14"/>
  <c r="J17" i="14"/>
  <c r="Q17" i="14"/>
  <c r="P17" i="14"/>
  <c r="O17" i="14"/>
  <c r="E48" i="7"/>
  <c r="G48" i="7"/>
  <c r="D16" i="10"/>
  <c r="J14" i="10" s="1"/>
  <c r="D48" i="7" l="1"/>
  <c r="F48" i="7"/>
  <c r="J10" i="7"/>
  <c r="I10" i="7"/>
  <c r="I52" i="7"/>
  <c r="J52" i="7"/>
  <c r="J8" i="7"/>
  <c r="I8" i="7"/>
  <c r="J7" i="7"/>
  <c r="I7" i="7"/>
  <c r="J9" i="7"/>
  <c r="I9" i="7"/>
  <c r="J51" i="7"/>
  <c r="I51" i="7"/>
  <c r="J17" i="10" l="1"/>
  <c r="J8" i="10"/>
  <c r="J13" i="10" s="1"/>
  <c r="J19" i="10" s="1"/>
  <c r="C15" i="6" s="1"/>
  <c r="I47" i="7"/>
  <c r="J47" i="7"/>
  <c r="J48" i="7" l="1"/>
  <c r="I48" i="7"/>
  <c r="I182" i="1" l="1"/>
  <c r="G15" i="16" s="1"/>
  <c r="H15" i="16" s="1"/>
  <c r="H182" i="1"/>
  <c r="F15" i="16" s="1"/>
  <c r="G182" i="1"/>
  <c r="E15" i="16" s="1"/>
  <c r="F182" i="1"/>
  <c r="D15" i="16" s="1"/>
  <c r="E182" i="1"/>
  <c r="I181" i="1"/>
  <c r="G13" i="16" s="1"/>
  <c r="H181" i="1"/>
  <c r="F13" i="16" s="1"/>
  <c r="G181" i="1"/>
  <c r="E13" i="16" s="1"/>
  <c r="F181" i="1"/>
  <c r="D13" i="16" s="1"/>
  <c r="E181" i="1"/>
  <c r="C13" i="16" s="1"/>
  <c r="D181" i="1"/>
  <c r="I180" i="1"/>
  <c r="G11" i="16" s="1"/>
  <c r="H180" i="1"/>
  <c r="F11" i="16" s="1"/>
  <c r="G180" i="1"/>
  <c r="E11" i="16" s="1"/>
  <c r="F180" i="1"/>
  <c r="D11" i="16" s="1"/>
  <c r="E180" i="1"/>
  <c r="C11" i="16" s="1"/>
  <c r="D180" i="1"/>
  <c r="I179" i="1"/>
  <c r="G9" i="16" s="1"/>
  <c r="H179" i="1"/>
  <c r="F9" i="16" s="1"/>
  <c r="G179" i="1"/>
  <c r="E9" i="16" s="1"/>
  <c r="F179" i="1"/>
  <c r="D9" i="16" s="1"/>
  <c r="E179" i="1"/>
  <c r="C9" i="16" s="1"/>
  <c r="D179" i="1"/>
  <c r="I178" i="1"/>
  <c r="G7" i="16" s="1"/>
  <c r="H178" i="1"/>
  <c r="F7" i="16" s="1"/>
  <c r="G178" i="1"/>
  <c r="E7" i="16" s="1"/>
  <c r="F178" i="1"/>
  <c r="D7" i="16" s="1"/>
  <c r="E178" i="1"/>
  <c r="C7" i="16" s="1"/>
  <c r="D178" i="1"/>
  <c r="I177" i="1"/>
  <c r="G5" i="16" s="1"/>
  <c r="H177" i="1"/>
  <c r="F5" i="16" s="1"/>
  <c r="G177" i="1"/>
  <c r="E5" i="16" s="1"/>
  <c r="F177" i="1"/>
  <c r="D5" i="16" s="1"/>
  <c r="E177" i="1"/>
  <c r="C5" i="16" s="1"/>
  <c r="D177" i="1"/>
  <c r="C188" i="1"/>
  <c r="C187" i="1"/>
  <c r="C186" i="1"/>
  <c r="C185" i="1"/>
  <c r="C184" i="1"/>
  <c r="D10" i="16" l="1"/>
  <c r="F12" i="16"/>
  <c r="D12" i="16"/>
  <c r="E16" i="16"/>
  <c r="E8" i="16"/>
  <c r="H7" i="16"/>
  <c r="G8" i="16"/>
  <c r="C27" i="16"/>
  <c r="C29" i="16" s="1"/>
  <c r="C6" i="3" s="1"/>
  <c r="G12" i="16"/>
  <c r="H11" i="16"/>
  <c r="F27" i="16"/>
  <c r="F29" i="16" s="1"/>
  <c r="F6" i="16"/>
  <c r="F10" i="16"/>
  <c r="F14" i="16"/>
  <c r="E6" i="16"/>
  <c r="E27" i="16"/>
  <c r="E29" i="16" s="1"/>
  <c r="H9" i="16"/>
  <c r="G10" i="16"/>
  <c r="H13" i="16"/>
  <c r="G14" i="16"/>
  <c r="E14" i="16"/>
  <c r="D14" i="16"/>
  <c r="H5" i="16"/>
  <c r="G6" i="16"/>
  <c r="G27" i="16"/>
  <c r="G29" i="16" s="1"/>
  <c r="D6" i="16"/>
  <c r="D27" i="16"/>
  <c r="D29" i="16" s="1"/>
  <c r="D8" i="16"/>
  <c r="E10" i="16"/>
  <c r="E12" i="16"/>
  <c r="G16" i="16"/>
  <c r="F16" i="16"/>
  <c r="F8" i="16"/>
  <c r="I15" i="16"/>
  <c r="H16" i="16"/>
  <c r="F30" i="7"/>
  <c r="D30" i="7" l="1"/>
  <c r="C30" i="7"/>
  <c r="E6" i="3"/>
  <c r="E8" i="14" s="1"/>
  <c r="E30" i="16"/>
  <c r="D6" i="3"/>
  <c r="D8" i="14" s="1"/>
  <c r="D30" i="16"/>
  <c r="I9" i="16"/>
  <c r="H10" i="16"/>
  <c r="G6" i="3"/>
  <c r="G30" i="16"/>
  <c r="J15" i="16"/>
  <c r="I16" i="16"/>
  <c r="I11" i="16"/>
  <c r="H12" i="16"/>
  <c r="F6" i="3"/>
  <c r="F8" i="14" s="1"/>
  <c r="F30" i="16"/>
  <c r="C10" i="3"/>
  <c r="C16" i="3"/>
  <c r="C14" i="3"/>
  <c r="C18" i="3"/>
  <c r="I5" i="16"/>
  <c r="H27" i="16"/>
  <c r="H6" i="16"/>
  <c r="I13" i="16"/>
  <c r="H14" i="16"/>
  <c r="I7" i="16"/>
  <c r="H8" i="16"/>
  <c r="G30" i="7"/>
  <c r="E30" i="7"/>
  <c r="J50" i="7"/>
  <c r="I50" i="7"/>
  <c r="G8" i="14" l="1"/>
  <c r="C37" i="15"/>
  <c r="D37" i="15" s="1"/>
  <c r="E37" i="15" s="1"/>
  <c r="F37" i="15" s="1"/>
  <c r="G37" i="15" s="1"/>
  <c r="H37" i="15" s="1"/>
  <c r="I37" i="15" s="1"/>
  <c r="J37" i="15" s="1"/>
  <c r="K37" i="15" s="1"/>
  <c r="L37" i="15" s="1"/>
  <c r="M37" i="15" s="1"/>
  <c r="F7" i="3"/>
  <c r="F6" i="7"/>
  <c r="G7" i="3"/>
  <c r="G6" i="7"/>
  <c r="D7" i="3"/>
  <c r="D6" i="7"/>
  <c r="E7" i="3"/>
  <c r="E6" i="7"/>
  <c r="E29" i="2"/>
  <c r="F29" i="2"/>
  <c r="G29" i="2"/>
  <c r="H29" i="2"/>
  <c r="I29" i="2"/>
  <c r="J29" i="2"/>
  <c r="K29" i="2"/>
  <c r="L29" i="2"/>
  <c r="M29" i="2"/>
  <c r="D29" i="2"/>
  <c r="H28" i="16"/>
  <c r="H29" i="16" s="1"/>
  <c r="J5" i="16"/>
  <c r="I6" i="16"/>
  <c r="I27" i="16"/>
  <c r="C11" i="3"/>
  <c r="C19" i="3"/>
  <c r="J9" i="16"/>
  <c r="I10" i="16"/>
  <c r="K15" i="16"/>
  <c r="J16" i="16"/>
  <c r="J7" i="16"/>
  <c r="I8" i="16"/>
  <c r="F16" i="3"/>
  <c r="F10" i="3"/>
  <c r="F9" i="3"/>
  <c r="F14" i="3"/>
  <c r="F18" i="3"/>
  <c r="D16" i="3"/>
  <c r="D14" i="3"/>
  <c r="D9" i="3"/>
  <c r="D10" i="3"/>
  <c r="D18" i="3"/>
  <c r="J13" i="16"/>
  <c r="I14" i="16"/>
  <c r="G16" i="3"/>
  <c r="G9" i="3"/>
  <c r="G14" i="3"/>
  <c r="G10" i="3"/>
  <c r="G18" i="3"/>
  <c r="E16" i="3"/>
  <c r="E14" i="3"/>
  <c r="E10" i="3"/>
  <c r="E9" i="3"/>
  <c r="E18" i="3"/>
  <c r="I22" i="7"/>
  <c r="J11" i="16"/>
  <c r="I12" i="16"/>
  <c r="I26" i="7"/>
  <c r="I23" i="7"/>
  <c r="J13" i="7"/>
  <c r="I21" i="7"/>
  <c r="J15" i="7"/>
  <c r="J28" i="7"/>
  <c r="I28" i="7"/>
  <c r="I16" i="7"/>
  <c r="I13" i="7"/>
  <c r="I46" i="7"/>
  <c r="J26" i="7"/>
  <c r="I15" i="7"/>
  <c r="I14" i="7"/>
  <c r="J22" i="7"/>
  <c r="J16" i="7"/>
  <c r="J14" i="7"/>
  <c r="J21" i="7"/>
  <c r="J46" i="7"/>
  <c r="J23" i="7"/>
  <c r="I30" i="7"/>
  <c r="J30" i="7"/>
  <c r="J44" i="7"/>
  <c r="I44" i="7"/>
  <c r="D25" i="2" s="1"/>
  <c r="D10" i="13" s="1"/>
  <c r="H22" i="3" s="1"/>
  <c r="D6" i="6" s="1"/>
  <c r="I6" i="7" l="1"/>
  <c r="J6" i="7"/>
  <c r="K25" i="2"/>
  <c r="L25" i="2"/>
  <c r="G25" i="2"/>
  <c r="H25" i="2"/>
  <c r="M25" i="2"/>
  <c r="E25" i="2"/>
  <c r="H8" i="5"/>
  <c r="F25" i="2"/>
  <c r="I25" i="2"/>
  <c r="J25" i="2"/>
  <c r="H30" i="16"/>
  <c r="H7" i="3" s="1"/>
  <c r="H6" i="3"/>
  <c r="D36" i="15" s="1"/>
  <c r="L15" i="16"/>
  <c r="K16" i="16"/>
  <c r="K9" i="16"/>
  <c r="J10" i="16"/>
  <c r="K7" i="16"/>
  <c r="J8" i="16"/>
  <c r="G11" i="3"/>
  <c r="G19" i="3"/>
  <c r="C23" i="3"/>
  <c r="C20" i="3"/>
  <c r="D11" i="3"/>
  <c r="D19" i="3"/>
  <c r="D23" i="3" s="1"/>
  <c r="D29" i="3" s="1"/>
  <c r="D32" i="3" s="1"/>
  <c r="D35" i="3" s="1"/>
  <c r="D39" i="3" s="1"/>
  <c r="I28" i="16"/>
  <c r="I29" i="16" s="1"/>
  <c r="E19" i="3"/>
  <c r="E11" i="3"/>
  <c r="F11" i="3"/>
  <c r="F19" i="3"/>
  <c r="K11" i="16"/>
  <c r="J12" i="16"/>
  <c r="K5" i="16"/>
  <c r="J6" i="16"/>
  <c r="J27" i="16"/>
  <c r="K13" i="16"/>
  <c r="J14" i="16"/>
  <c r="H7" i="14" l="1"/>
  <c r="H10" i="5" s="1"/>
  <c r="H19" i="5"/>
  <c r="D8" i="6" s="1"/>
  <c r="L11" i="16"/>
  <c r="K12" i="16"/>
  <c r="L7" i="16"/>
  <c r="K8" i="16"/>
  <c r="M15" i="16"/>
  <c r="L16" i="16"/>
  <c r="L5" i="16"/>
  <c r="K27" i="16"/>
  <c r="K6" i="16"/>
  <c r="C29" i="3"/>
  <c r="C32" i="3" s="1"/>
  <c r="C39" i="3" s="1"/>
  <c r="D40" i="3" s="1"/>
  <c r="C24" i="3"/>
  <c r="F23" i="3"/>
  <c r="F20" i="3"/>
  <c r="E23" i="3"/>
  <c r="E20" i="3"/>
  <c r="D20" i="3"/>
  <c r="H16" i="3"/>
  <c r="H13" i="3"/>
  <c r="H8" i="3"/>
  <c r="G23" i="3"/>
  <c r="G20" i="3"/>
  <c r="L9" i="16"/>
  <c r="K10" i="16"/>
  <c r="I30" i="16"/>
  <c r="I7" i="3" s="1"/>
  <c r="I6" i="3"/>
  <c r="E36" i="15" s="1"/>
  <c r="L13" i="16"/>
  <c r="K14" i="16"/>
  <c r="J28" i="16"/>
  <c r="J29" i="16" s="1"/>
  <c r="H9" i="4" l="1"/>
  <c r="H14" i="14"/>
  <c r="H13" i="5" s="1"/>
  <c r="H26" i="4" s="1"/>
  <c r="G24" i="7" s="1"/>
  <c r="H5" i="14"/>
  <c r="H11" i="5" s="1"/>
  <c r="H10" i="4" s="1"/>
  <c r="D9" i="13"/>
  <c r="D11" i="13" s="1"/>
  <c r="H24" i="5"/>
  <c r="H9" i="14"/>
  <c r="H12" i="5" s="1"/>
  <c r="H11" i="4" s="1"/>
  <c r="H16" i="14"/>
  <c r="H14" i="5" s="1"/>
  <c r="H27" i="4" s="1"/>
  <c r="I19" i="5"/>
  <c r="E8" i="6" s="1"/>
  <c r="I7" i="14"/>
  <c r="I10" i="5" s="1"/>
  <c r="H10" i="3"/>
  <c r="C36" i="3"/>
  <c r="C7" i="5"/>
  <c r="C16" i="5" s="1"/>
  <c r="K28" i="16"/>
  <c r="K29" i="16" s="1"/>
  <c r="N15" i="16"/>
  <c r="M16" i="16"/>
  <c r="F29" i="3"/>
  <c r="F32" i="3" s="1"/>
  <c r="F35" i="3" s="1"/>
  <c r="F39" i="3" s="1"/>
  <c r="F24" i="3"/>
  <c r="H9" i="3"/>
  <c r="J30" i="16"/>
  <c r="J7" i="3" s="1"/>
  <c r="J6" i="3"/>
  <c r="F36" i="15" s="1"/>
  <c r="M5" i="16"/>
  <c r="L6" i="16"/>
  <c r="L27" i="16"/>
  <c r="M13" i="16"/>
  <c r="L14" i="16"/>
  <c r="D24" i="3"/>
  <c r="G29" i="3"/>
  <c r="G32" i="3" s="1"/>
  <c r="G35" i="3" s="1"/>
  <c r="G39" i="3" s="1"/>
  <c r="G24" i="3"/>
  <c r="M7" i="16"/>
  <c r="L8" i="16"/>
  <c r="H17" i="3"/>
  <c r="H18" i="3" s="1"/>
  <c r="H14" i="3"/>
  <c r="I16" i="3"/>
  <c r="I13" i="3"/>
  <c r="I8" i="3"/>
  <c r="E29" i="3"/>
  <c r="E32" i="3" s="1"/>
  <c r="E35" i="3" s="1"/>
  <c r="E39" i="3" s="1"/>
  <c r="E40" i="3" s="1"/>
  <c r="E24" i="3"/>
  <c r="M9" i="16"/>
  <c r="L10" i="16"/>
  <c r="M11" i="16"/>
  <c r="L12" i="16"/>
  <c r="I24" i="7" l="1"/>
  <c r="J24" i="7"/>
  <c r="F40" i="3"/>
  <c r="I9" i="4"/>
  <c r="G40" i="3"/>
  <c r="D7" i="6"/>
  <c r="H11" i="3"/>
  <c r="H19" i="3"/>
  <c r="H23" i="3" s="1"/>
  <c r="D5" i="6" s="1"/>
  <c r="D9" i="6" s="1"/>
  <c r="D10" i="6" s="1"/>
  <c r="D12" i="6" s="1"/>
  <c r="D18" i="6" s="1"/>
  <c r="E8" i="13"/>
  <c r="H19" i="4"/>
  <c r="H18" i="14"/>
  <c r="J19" i="5"/>
  <c r="F8" i="6" s="1"/>
  <c r="J7" i="14"/>
  <c r="J10" i="5" s="1"/>
  <c r="E9" i="13"/>
  <c r="I24" i="5"/>
  <c r="I14" i="14"/>
  <c r="I13" i="5" s="1"/>
  <c r="I26" i="4" s="1"/>
  <c r="I5" i="14"/>
  <c r="I11" i="5" s="1"/>
  <c r="I10" i="4" s="1"/>
  <c r="I9" i="14"/>
  <c r="I12" i="5" s="1"/>
  <c r="I11" i="4" s="1"/>
  <c r="I16" i="14"/>
  <c r="I14" i="5" s="1"/>
  <c r="I27" i="4" s="1"/>
  <c r="I10" i="3"/>
  <c r="I11" i="3" s="1"/>
  <c r="C35" i="5"/>
  <c r="C37" i="5" s="1"/>
  <c r="G36" i="3"/>
  <c r="G7" i="5"/>
  <c r="G16" i="5" s="1"/>
  <c r="G35" i="5" s="1"/>
  <c r="G37" i="5" s="1"/>
  <c r="H36" i="5" s="1"/>
  <c r="D36" i="3"/>
  <c r="D7" i="5"/>
  <c r="E36" i="3"/>
  <c r="E7" i="5"/>
  <c r="E16" i="5" s="1"/>
  <c r="F36" i="3"/>
  <c r="F7" i="5"/>
  <c r="F16" i="5" s="1"/>
  <c r="F35" i="5" s="1"/>
  <c r="F37" i="5" s="1"/>
  <c r="H11" i="14"/>
  <c r="K30" i="16"/>
  <c r="K7" i="3" s="1"/>
  <c r="K6" i="3"/>
  <c r="G36" i="15" s="1"/>
  <c r="I9" i="3"/>
  <c r="N9" i="16"/>
  <c r="M10" i="16"/>
  <c r="O15" i="16"/>
  <c r="N16" i="16"/>
  <c r="N13" i="16"/>
  <c r="M14" i="16"/>
  <c r="L28" i="16"/>
  <c r="L29" i="16" s="1"/>
  <c r="I17" i="3"/>
  <c r="I18" i="3" s="1"/>
  <c r="I14" i="3"/>
  <c r="N11" i="16"/>
  <c r="M12" i="16"/>
  <c r="N5" i="16"/>
  <c r="M6" i="16"/>
  <c r="M27" i="16"/>
  <c r="N7" i="16"/>
  <c r="M8" i="16"/>
  <c r="J16" i="3"/>
  <c r="J13" i="3"/>
  <c r="J8" i="3"/>
  <c r="J9" i="4" l="1"/>
  <c r="E7" i="6"/>
  <c r="H21" i="4"/>
  <c r="H39" i="4"/>
  <c r="H20" i="14"/>
  <c r="I18" i="14"/>
  <c r="J5" i="14"/>
  <c r="J11" i="5" s="1"/>
  <c r="J10" i="4" s="1"/>
  <c r="J14" i="14"/>
  <c r="J13" i="5" s="1"/>
  <c r="J26" i="4" s="1"/>
  <c r="J9" i="14"/>
  <c r="J12" i="5" s="1"/>
  <c r="J11" i="4" s="1"/>
  <c r="J16" i="14"/>
  <c r="J14" i="5" s="1"/>
  <c r="J27" i="4" s="1"/>
  <c r="F9" i="13"/>
  <c r="J24" i="5"/>
  <c r="E10" i="13"/>
  <c r="I22" i="3" s="1"/>
  <c r="K19" i="5"/>
  <c r="G8" i="6" s="1"/>
  <c r="K7" i="14"/>
  <c r="K10" i="5" s="1"/>
  <c r="J10" i="3"/>
  <c r="J11" i="3" s="1"/>
  <c r="E35" i="5"/>
  <c r="E37" i="5" s="1"/>
  <c r="D16" i="5"/>
  <c r="D35" i="5" s="1"/>
  <c r="D37" i="5" s="1"/>
  <c r="H20" i="3"/>
  <c r="O5" i="16"/>
  <c r="N27" i="16"/>
  <c r="N6" i="16"/>
  <c r="J14" i="3"/>
  <c r="J17" i="3"/>
  <c r="J18" i="3" s="1"/>
  <c r="L30" i="16"/>
  <c r="L7" i="3" s="1"/>
  <c r="L6" i="3"/>
  <c r="H36" i="15" s="1"/>
  <c r="I11" i="14"/>
  <c r="J9" i="3"/>
  <c r="O7" i="16"/>
  <c r="N8" i="16"/>
  <c r="P15" i="16"/>
  <c r="O16" i="16"/>
  <c r="O9" i="16"/>
  <c r="N10" i="16"/>
  <c r="K16" i="3"/>
  <c r="K13" i="3"/>
  <c r="K8" i="3"/>
  <c r="M28" i="16"/>
  <c r="M29" i="16" s="1"/>
  <c r="O11" i="16"/>
  <c r="N12" i="16"/>
  <c r="H24" i="3"/>
  <c r="O13" i="16"/>
  <c r="N14" i="16"/>
  <c r="K9" i="4" l="1"/>
  <c r="F7" i="6"/>
  <c r="I8" i="5"/>
  <c r="E6" i="6"/>
  <c r="I20" i="14"/>
  <c r="E11" i="13"/>
  <c r="I19" i="3"/>
  <c r="I20" i="3" s="1"/>
  <c r="L7" i="14"/>
  <c r="L10" i="5" s="1"/>
  <c r="L19" i="5"/>
  <c r="H8" i="6" s="1"/>
  <c r="K5" i="14"/>
  <c r="K11" i="5" s="1"/>
  <c r="K10" i="4" s="1"/>
  <c r="K14" i="14"/>
  <c r="K13" i="5" s="1"/>
  <c r="K26" i="4" s="1"/>
  <c r="G9" i="13"/>
  <c r="K24" i="5"/>
  <c r="K9" i="14"/>
  <c r="K12" i="5" s="1"/>
  <c r="K11" i="4" s="1"/>
  <c r="K16" i="14"/>
  <c r="K14" i="5" s="1"/>
  <c r="K27" i="4" s="1"/>
  <c r="J18" i="14"/>
  <c r="P9" i="16"/>
  <c r="O10" i="16"/>
  <c r="L8" i="3"/>
  <c r="L13" i="3"/>
  <c r="L16" i="3"/>
  <c r="M30" i="16"/>
  <c r="M7" i="3" s="1"/>
  <c r="M6" i="3"/>
  <c r="I36" i="15" s="1"/>
  <c r="P13" i="16"/>
  <c r="O14" i="16"/>
  <c r="P7" i="16"/>
  <c r="O8" i="16"/>
  <c r="J11" i="14"/>
  <c r="N28" i="16"/>
  <c r="N29" i="16" s="1"/>
  <c r="Q15" i="16"/>
  <c r="Q16" i="16" s="1"/>
  <c r="P16" i="16"/>
  <c r="P11" i="16"/>
  <c r="O12" i="16"/>
  <c r="K9" i="3"/>
  <c r="K10" i="3"/>
  <c r="K14" i="3"/>
  <c r="K17" i="3"/>
  <c r="K18" i="3" s="1"/>
  <c r="P5" i="16"/>
  <c r="O27" i="16"/>
  <c r="O6" i="16"/>
  <c r="L9" i="4" l="1"/>
  <c r="G7" i="6"/>
  <c r="F8" i="13"/>
  <c r="F10" i="13" s="1"/>
  <c r="J22" i="3" s="1"/>
  <c r="F6" i="6" s="1"/>
  <c r="I19" i="4"/>
  <c r="I23" i="3"/>
  <c r="H9" i="13"/>
  <c r="L24" i="5"/>
  <c r="M19" i="5"/>
  <c r="I8" i="6" s="1"/>
  <c r="M7" i="14"/>
  <c r="M10" i="5" s="1"/>
  <c r="L9" i="14"/>
  <c r="L12" i="5" s="1"/>
  <c r="L11" i="4" s="1"/>
  <c r="L16" i="14"/>
  <c r="L14" i="5" s="1"/>
  <c r="L27" i="4" s="1"/>
  <c r="L10" i="3"/>
  <c r="L11" i="3" s="1"/>
  <c r="L14" i="14"/>
  <c r="L13" i="5" s="1"/>
  <c r="L26" i="4" s="1"/>
  <c r="L5" i="14"/>
  <c r="L11" i="5" s="1"/>
  <c r="L10" i="4" s="1"/>
  <c r="J20" i="14"/>
  <c r="K18" i="14"/>
  <c r="N30" i="16"/>
  <c r="N7" i="3" s="1"/>
  <c r="N6" i="3"/>
  <c r="J36" i="15" s="1"/>
  <c r="O28" i="16"/>
  <c r="O29" i="16" s="1"/>
  <c r="Q5" i="16"/>
  <c r="P6" i="16"/>
  <c r="P27" i="16"/>
  <c r="M8" i="3"/>
  <c r="M16" i="3"/>
  <c r="M13" i="3"/>
  <c r="L14" i="3"/>
  <c r="L17" i="3"/>
  <c r="L18" i="3" s="1"/>
  <c r="L9" i="3"/>
  <c r="Q7" i="16"/>
  <c r="Q8" i="16" s="1"/>
  <c r="P8" i="16"/>
  <c r="K11" i="3"/>
  <c r="Q13" i="16"/>
  <c r="Q14" i="16" s="1"/>
  <c r="P14" i="16"/>
  <c r="Q9" i="16"/>
  <c r="Q10" i="16" s="1"/>
  <c r="P10" i="16"/>
  <c r="K11" i="14"/>
  <c r="Q11" i="16"/>
  <c r="Q12" i="16" s="1"/>
  <c r="P12" i="16"/>
  <c r="M9" i="4" l="1"/>
  <c r="I24" i="3"/>
  <c r="E5" i="6"/>
  <c r="E9" i="6" s="1"/>
  <c r="E10" i="6" s="1"/>
  <c r="E12" i="6" s="1"/>
  <c r="E18" i="6" s="1"/>
  <c r="H7" i="6"/>
  <c r="I21" i="4"/>
  <c r="I39" i="4"/>
  <c r="M9" i="14"/>
  <c r="M12" i="5" s="1"/>
  <c r="M11" i="4" s="1"/>
  <c r="M16" i="14"/>
  <c r="M14" i="5" s="1"/>
  <c r="M27" i="4" s="1"/>
  <c r="F11" i="13"/>
  <c r="J19" i="4" s="1"/>
  <c r="J8" i="5"/>
  <c r="J19" i="3"/>
  <c r="N19" i="5"/>
  <c r="J8" i="6" s="1"/>
  <c r="N7" i="14"/>
  <c r="N10" i="5" s="1"/>
  <c r="I9" i="13"/>
  <c r="M24" i="5"/>
  <c r="M14" i="14"/>
  <c r="M13" i="5" s="1"/>
  <c r="M26" i="4" s="1"/>
  <c r="M5" i="14"/>
  <c r="M11" i="5" s="1"/>
  <c r="M10" i="4" s="1"/>
  <c r="K20" i="14"/>
  <c r="L18" i="14"/>
  <c r="L11" i="14"/>
  <c r="M9" i="3"/>
  <c r="P28" i="16"/>
  <c r="P29" i="16" s="1"/>
  <c r="Q6" i="16"/>
  <c r="Q27" i="16"/>
  <c r="Q28" i="16" s="1"/>
  <c r="Q29" i="16" s="1"/>
  <c r="O30" i="16"/>
  <c r="O7" i="3" s="1"/>
  <c r="O6" i="3"/>
  <c r="K36" i="15" s="1"/>
  <c r="M10" i="3"/>
  <c r="M14" i="3"/>
  <c r="M17" i="3"/>
  <c r="M18" i="3" s="1"/>
  <c r="N8" i="3"/>
  <c r="N16" i="3"/>
  <c r="N13" i="3"/>
  <c r="N9" i="4" l="1"/>
  <c r="I7" i="6"/>
  <c r="J21" i="4"/>
  <c r="J39" i="4"/>
  <c r="J9" i="13"/>
  <c r="N24" i="5"/>
  <c r="J20" i="3"/>
  <c r="J23" i="3"/>
  <c r="F5" i="6" s="1"/>
  <c r="G8" i="13"/>
  <c r="O19" i="5"/>
  <c r="K8" i="6" s="1"/>
  <c r="O7" i="14"/>
  <c r="O10" i="5" s="1"/>
  <c r="N9" i="14"/>
  <c r="N12" i="5" s="1"/>
  <c r="N11" i="4" s="1"/>
  <c r="N16" i="14"/>
  <c r="N14" i="5" s="1"/>
  <c r="N27" i="4" s="1"/>
  <c r="N5" i="14"/>
  <c r="N11" i="5" s="1"/>
  <c r="N10" i="4" s="1"/>
  <c r="N14" i="14"/>
  <c r="N13" i="5" s="1"/>
  <c r="N26" i="4" s="1"/>
  <c r="M18" i="14"/>
  <c r="L20" i="14"/>
  <c r="M11" i="14"/>
  <c r="O8" i="3"/>
  <c r="O16" i="3"/>
  <c r="O13" i="3"/>
  <c r="N9" i="3"/>
  <c r="N14" i="3"/>
  <c r="N17" i="3"/>
  <c r="N18" i="3" s="1"/>
  <c r="Q6" i="3"/>
  <c r="M36" i="15" s="1"/>
  <c r="Q30" i="16"/>
  <c r="Q7" i="3" s="1"/>
  <c r="M11" i="3"/>
  <c r="N10" i="3"/>
  <c r="P30" i="16"/>
  <c r="P7" i="3" s="1"/>
  <c r="P6" i="3"/>
  <c r="L36" i="15" s="1"/>
  <c r="F9" i="6" l="1"/>
  <c r="F10" i="6" s="1"/>
  <c r="F12" i="6" s="1"/>
  <c r="F18" i="6" s="1"/>
  <c r="J7" i="6"/>
  <c r="O9" i="4"/>
  <c r="Q7" i="14"/>
  <c r="Q19" i="5"/>
  <c r="M8" i="6" s="1"/>
  <c r="J24" i="3"/>
  <c r="G10" i="13"/>
  <c r="K22" i="3" s="1"/>
  <c r="G6" i="6" s="1"/>
  <c r="P19" i="5"/>
  <c r="L8" i="6" s="1"/>
  <c r="P7" i="14"/>
  <c r="P10" i="5" s="1"/>
  <c r="O10" i="3"/>
  <c r="O11" i="3" s="1"/>
  <c r="O5" i="14"/>
  <c r="O11" i="5" s="1"/>
  <c r="O10" i="4" s="1"/>
  <c r="O14" i="14"/>
  <c r="O13" i="5" s="1"/>
  <c r="O26" i="4" s="1"/>
  <c r="K9" i="13"/>
  <c r="O24" i="5"/>
  <c r="O9" i="14"/>
  <c r="O12" i="5" s="1"/>
  <c r="O11" i="4" s="1"/>
  <c r="O16" i="14"/>
  <c r="O14" i="5" s="1"/>
  <c r="O27" i="4" s="1"/>
  <c r="N18" i="14"/>
  <c r="M20" i="14"/>
  <c r="N11" i="14"/>
  <c r="O14" i="3"/>
  <c r="O17" i="3"/>
  <c r="O18" i="3" s="1"/>
  <c r="N11" i="3"/>
  <c r="P8" i="3"/>
  <c r="P16" i="3"/>
  <c r="P13" i="3"/>
  <c r="Q8" i="3"/>
  <c r="Q16" i="3"/>
  <c r="Q13" i="3"/>
  <c r="O9" i="3"/>
  <c r="P9" i="4" l="1"/>
  <c r="K7" i="6"/>
  <c r="G11" i="13"/>
  <c r="L9" i="13"/>
  <c r="P24" i="5"/>
  <c r="P9" i="14"/>
  <c r="P12" i="5" s="1"/>
  <c r="P11" i="4" s="1"/>
  <c r="P16" i="14"/>
  <c r="P14" i="5" s="1"/>
  <c r="P27" i="4" s="1"/>
  <c r="P14" i="14"/>
  <c r="P13" i="5" s="1"/>
  <c r="P26" i="4" s="1"/>
  <c r="P5" i="14"/>
  <c r="P11" i="5" s="1"/>
  <c r="P10" i="4" s="1"/>
  <c r="M9" i="13"/>
  <c r="Q24" i="5"/>
  <c r="Q10" i="5"/>
  <c r="K8" i="5"/>
  <c r="K19" i="3"/>
  <c r="Q9" i="14"/>
  <c r="Q16" i="14"/>
  <c r="Q10" i="3"/>
  <c r="Q11" i="3" s="1"/>
  <c r="Q14" i="14"/>
  <c r="Q5" i="14"/>
  <c r="N20" i="14"/>
  <c r="O18" i="14"/>
  <c r="Q14" i="3"/>
  <c r="Q17" i="3"/>
  <c r="Q18" i="3" s="1"/>
  <c r="Q9" i="3"/>
  <c r="P9" i="3"/>
  <c r="O11" i="14"/>
  <c r="P10" i="3"/>
  <c r="P14" i="3"/>
  <c r="P17" i="3"/>
  <c r="P18" i="3" s="1"/>
  <c r="L7" i="6" l="1"/>
  <c r="Q9" i="4"/>
  <c r="H8" i="13"/>
  <c r="H10" i="13" s="1"/>
  <c r="L22" i="3" s="1"/>
  <c r="H6" i="6" s="1"/>
  <c r="K19" i="4"/>
  <c r="Q11" i="5"/>
  <c r="Q10" i="4" s="1"/>
  <c r="O20" i="14"/>
  <c r="Q14" i="5"/>
  <c r="Q27" i="4" s="1"/>
  <c r="Q13" i="5"/>
  <c r="Q26" i="4" s="1"/>
  <c r="Q12" i="5"/>
  <c r="Q11" i="4" s="1"/>
  <c r="K23" i="3"/>
  <c r="G5" i="6" s="1"/>
  <c r="G9" i="6" s="1"/>
  <c r="G10" i="6" s="1"/>
  <c r="G12" i="6" s="1"/>
  <c r="G18" i="6" s="1"/>
  <c r="K20" i="3"/>
  <c r="Q11" i="14"/>
  <c r="P18" i="14"/>
  <c r="Q18" i="14"/>
  <c r="P11" i="14"/>
  <c r="P11" i="3"/>
  <c r="M7" i="6" l="1"/>
  <c r="K21" i="4"/>
  <c r="K39" i="4"/>
  <c r="Q20" i="14"/>
  <c r="P20" i="14"/>
  <c r="H11" i="13"/>
  <c r="K24" i="3"/>
  <c r="L8" i="5"/>
  <c r="L19" i="3"/>
  <c r="I8" i="13" l="1"/>
  <c r="L19" i="4"/>
  <c r="L23" i="3"/>
  <c r="H5" i="6" s="1"/>
  <c r="H9" i="6" s="1"/>
  <c r="H10" i="6" s="1"/>
  <c r="H12" i="6" s="1"/>
  <c r="H18" i="6" s="1"/>
  <c r="L20" i="3"/>
  <c r="I10" i="13"/>
  <c r="M22" i="3" s="1"/>
  <c r="I6" i="6" s="1"/>
  <c r="L21" i="4" l="1"/>
  <c r="L39" i="4"/>
  <c r="M8" i="5"/>
  <c r="M19" i="3"/>
  <c r="L24" i="3"/>
  <c r="I11" i="13"/>
  <c r="M19" i="4" s="1"/>
  <c r="M21" i="4" l="1"/>
  <c r="M39" i="4"/>
  <c r="J8" i="13"/>
  <c r="M23" i="3"/>
  <c r="I5" i="6" s="1"/>
  <c r="I9" i="6" s="1"/>
  <c r="I10" i="6" s="1"/>
  <c r="I12" i="6" s="1"/>
  <c r="I18" i="6" s="1"/>
  <c r="M20" i="3"/>
  <c r="M24" i="3" l="1"/>
  <c r="J10" i="13"/>
  <c r="N22" i="3" s="1"/>
  <c r="J6" i="6" s="1"/>
  <c r="J11" i="13" l="1"/>
  <c r="N8" i="5"/>
  <c r="N19" i="3"/>
  <c r="K8" i="13" l="1"/>
  <c r="K10" i="13" s="1"/>
  <c r="O22" i="3" s="1"/>
  <c r="K6" i="6" s="1"/>
  <c r="N19" i="4"/>
  <c r="N20" i="3"/>
  <c r="N23" i="3"/>
  <c r="J5" i="6" s="1"/>
  <c r="J9" i="6" s="1"/>
  <c r="J10" i="6" s="1"/>
  <c r="J12" i="6" s="1"/>
  <c r="J18" i="6" s="1"/>
  <c r="N21" i="4" l="1"/>
  <c r="N39" i="4"/>
  <c r="K11" i="13"/>
  <c r="N24" i="3"/>
  <c r="O8" i="5"/>
  <c r="O19" i="3"/>
  <c r="L8" i="13" l="1"/>
  <c r="L10" i="13" s="1"/>
  <c r="P22" i="3" s="1"/>
  <c r="L6" i="6" s="1"/>
  <c r="O19" i="4"/>
  <c r="O20" i="3"/>
  <c r="O23" i="3"/>
  <c r="K5" i="6" s="1"/>
  <c r="K9" i="6" s="1"/>
  <c r="K10" i="6" s="1"/>
  <c r="K12" i="6" s="1"/>
  <c r="K18" i="6" s="1"/>
  <c r="O21" i="4" l="1"/>
  <c r="O39" i="4"/>
  <c r="P8" i="5"/>
  <c r="P19" i="3"/>
  <c r="L11" i="13"/>
  <c r="P19" i="4" s="1"/>
  <c r="O24" i="3"/>
  <c r="P21" i="4" l="1"/>
  <c r="P39" i="4"/>
  <c r="M8" i="13"/>
  <c r="P20" i="3"/>
  <c r="P23" i="3"/>
  <c r="L5" i="6" s="1"/>
  <c r="L9" i="6" l="1"/>
  <c r="L10" i="6"/>
  <c r="L12" i="6" s="1"/>
  <c r="L18" i="6" s="1"/>
  <c r="P24" i="3"/>
  <c r="M10" i="13"/>
  <c r="Q22" i="3" s="1"/>
  <c r="M6" i="6" s="1"/>
  <c r="M11" i="13" l="1"/>
  <c r="Q19" i="4" s="1"/>
  <c r="Q8" i="5"/>
  <c r="Q19" i="3"/>
  <c r="Q21" i="4" l="1"/>
  <c r="Q39" i="4"/>
  <c r="Q23" i="3"/>
  <c r="M5" i="6" s="1"/>
  <c r="M9" i="6" s="1"/>
  <c r="M10" i="6" s="1"/>
  <c r="M11" i="6" s="1"/>
  <c r="Q20" i="3"/>
  <c r="M12" i="6" l="1"/>
  <c r="M18" i="6" s="1"/>
  <c r="C21" i="6" s="1"/>
  <c r="Q7" i="6" s="1"/>
  <c r="Q24" i="3"/>
  <c r="C24" i="6" l="1"/>
  <c r="C26" i="6" l="1"/>
  <c r="Q16" i="6" l="1"/>
  <c r="H7" i="4"/>
  <c r="I7" i="4"/>
  <c r="J7" i="4"/>
  <c r="K7" i="4"/>
  <c r="L7" i="4"/>
  <c r="M7" i="4"/>
  <c r="N7" i="4"/>
  <c r="O7" i="4"/>
  <c r="P7" i="4"/>
  <c r="Q7" i="4"/>
  <c r="H13" i="4"/>
  <c r="I13" i="4"/>
  <c r="J13" i="4"/>
  <c r="K13" i="4"/>
  <c r="L13" i="4"/>
  <c r="M13" i="4"/>
  <c r="N13" i="4"/>
  <c r="O13" i="4"/>
  <c r="P13" i="4"/>
  <c r="Q13" i="4"/>
  <c r="H23" i="4"/>
  <c r="I23" i="4"/>
  <c r="J23" i="4"/>
  <c r="K23" i="4"/>
  <c r="L23" i="4"/>
  <c r="M23" i="4"/>
  <c r="N23" i="4"/>
  <c r="O23" i="4"/>
  <c r="P23" i="4"/>
  <c r="Q23" i="4"/>
  <c r="H28" i="4"/>
  <c r="I28" i="4"/>
  <c r="J28" i="4"/>
  <c r="K28" i="4"/>
  <c r="L28" i="4"/>
  <c r="M28" i="4"/>
  <c r="N28" i="4"/>
  <c r="O28" i="4"/>
  <c r="P28" i="4"/>
  <c r="Q28" i="4"/>
  <c r="H32" i="4"/>
  <c r="I32" i="4"/>
  <c r="J32" i="4"/>
  <c r="K32" i="4"/>
  <c r="L32" i="4"/>
  <c r="M32" i="4"/>
  <c r="N32" i="4"/>
  <c r="O32" i="4"/>
  <c r="P32" i="4"/>
  <c r="Q32" i="4"/>
  <c r="H41" i="4"/>
  <c r="I41" i="4"/>
  <c r="J41" i="4"/>
  <c r="K41" i="4"/>
  <c r="L41" i="4"/>
  <c r="M41" i="4"/>
  <c r="N41" i="4"/>
  <c r="O41" i="4"/>
  <c r="P41" i="4"/>
  <c r="Q41" i="4"/>
  <c r="H47" i="4"/>
  <c r="I47" i="4"/>
  <c r="J47" i="4"/>
  <c r="K47" i="4"/>
  <c r="L47" i="4"/>
  <c r="M47" i="4"/>
  <c r="N47" i="4"/>
  <c r="O47" i="4"/>
  <c r="P47" i="4"/>
  <c r="Q47" i="4"/>
  <c r="H48" i="4"/>
  <c r="I48" i="4"/>
  <c r="J48" i="4"/>
  <c r="K48" i="4"/>
  <c r="L48" i="4"/>
  <c r="M48" i="4"/>
  <c r="N48" i="4"/>
  <c r="O48" i="4"/>
  <c r="P48" i="4"/>
  <c r="Q48" i="4"/>
  <c r="H50" i="4"/>
  <c r="I50" i="4"/>
  <c r="J50" i="4"/>
  <c r="K50" i="4"/>
  <c r="L50" i="4"/>
  <c r="M50" i="4"/>
  <c r="N50" i="4"/>
  <c r="O50" i="4"/>
  <c r="P50" i="4"/>
  <c r="Q50" i="4"/>
  <c r="H52" i="4"/>
  <c r="I52" i="4"/>
  <c r="J52" i="4"/>
  <c r="K52" i="4"/>
  <c r="L52" i="4"/>
  <c r="M52" i="4"/>
  <c r="N52" i="4"/>
  <c r="O52" i="4"/>
  <c r="P52" i="4"/>
  <c r="Q52" i="4"/>
  <c r="H7" i="5"/>
  <c r="I7" i="5"/>
  <c r="J7" i="5"/>
  <c r="K7" i="5"/>
  <c r="L7" i="5"/>
  <c r="M7" i="5"/>
  <c r="N7" i="5"/>
  <c r="O7" i="5"/>
  <c r="P7" i="5"/>
  <c r="Q7" i="5"/>
  <c r="H16" i="5"/>
  <c r="I16" i="5"/>
  <c r="J16" i="5"/>
  <c r="K16" i="5"/>
  <c r="L16" i="5"/>
  <c r="M16" i="5"/>
  <c r="N16" i="5"/>
  <c r="O16" i="5"/>
  <c r="P16" i="5"/>
  <c r="Q16" i="5"/>
  <c r="H27" i="5"/>
  <c r="I27" i="5"/>
  <c r="J27" i="5"/>
  <c r="K27" i="5"/>
  <c r="L27" i="5"/>
  <c r="M27" i="5"/>
  <c r="N27" i="5"/>
  <c r="O27" i="5"/>
  <c r="P27" i="5"/>
  <c r="Q27" i="5"/>
  <c r="H31" i="5"/>
  <c r="I31" i="5"/>
  <c r="J31" i="5"/>
  <c r="K31" i="5"/>
  <c r="L31" i="5"/>
  <c r="M31" i="5"/>
  <c r="N31" i="5"/>
  <c r="O31" i="5"/>
  <c r="P31" i="5"/>
  <c r="Q31" i="5"/>
  <c r="H33" i="5"/>
  <c r="I33" i="5"/>
  <c r="J33" i="5"/>
  <c r="K33" i="5"/>
  <c r="L33" i="5"/>
  <c r="M33" i="5"/>
  <c r="N33" i="5"/>
  <c r="O33" i="5"/>
  <c r="P33" i="5"/>
  <c r="Q33" i="5"/>
  <c r="H35" i="5"/>
  <c r="I35" i="5"/>
  <c r="J35" i="5"/>
  <c r="K35" i="5"/>
  <c r="L35" i="5"/>
  <c r="M35" i="5"/>
  <c r="N35" i="5"/>
  <c r="O35" i="5"/>
  <c r="P35" i="5"/>
  <c r="Q35" i="5"/>
  <c r="I36" i="5"/>
  <c r="J36" i="5"/>
  <c r="K36" i="5"/>
  <c r="L36" i="5"/>
  <c r="M36" i="5"/>
  <c r="N36" i="5"/>
  <c r="O36" i="5"/>
  <c r="P36" i="5"/>
  <c r="Q36" i="5"/>
  <c r="H37" i="5"/>
  <c r="I37" i="5"/>
  <c r="J37" i="5"/>
  <c r="K37" i="5"/>
  <c r="L37" i="5"/>
  <c r="M37" i="5"/>
  <c r="N37" i="5"/>
  <c r="O37" i="5"/>
  <c r="P37" i="5"/>
  <c r="Q37" i="5"/>
  <c r="H40" i="5"/>
  <c r="I40" i="5"/>
  <c r="J40" i="5"/>
  <c r="K40" i="5"/>
  <c r="L40" i="5"/>
  <c r="M40" i="5"/>
  <c r="N40" i="5"/>
  <c r="O40" i="5"/>
  <c r="P40" i="5"/>
  <c r="Q40" i="5"/>
  <c r="E5" i="15"/>
  <c r="F5" i="15"/>
  <c r="G5" i="15"/>
  <c r="H5" i="15"/>
  <c r="I5" i="15"/>
  <c r="J5" i="15"/>
  <c r="K5" i="15"/>
  <c r="L5" i="15"/>
  <c r="M5" i="15"/>
  <c r="D6" i="15"/>
  <c r="E6" i="15"/>
  <c r="F6" i="15"/>
  <c r="G6" i="15"/>
  <c r="H6" i="15"/>
  <c r="I6" i="15"/>
  <c r="J6" i="15"/>
  <c r="K6" i="15"/>
  <c r="L6" i="15"/>
  <c r="M6" i="15"/>
  <c r="D8" i="15"/>
  <c r="E8" i="15"/>
  <c r="F8" i="15"/>
  <c r="G8" i="15"/>
  <c r="H8" i="15"/>
  <c r="I8" i="15"/>
  <c r="J8" i="15"/>
  <c r="K8" i="15"/>
  <c r="L8" i="15"/>
  <c r="M8" i="15"/>
  <c r="E12" i="15"/>
  <c r="F12" i="15"/>
  <c r="G12" i="15"/>
  <c r="H12" i="15"/>
  <c r="I12" i="15"/>
  <c r="J12" i="15"/>
  <c r="K12" i="15"/>
  <c r="L12" i="15"/>
  <c r="M12" i="15"/>
  <c r="D14" i="15"/>
  <c r="E14" i="15"/>
  <c r="F14" i="15"/>
  <c r="G14" i="15"/>
  <c r="H14" i="15"/>
  <c r="I14" i="15"/>
  <c r="J14" i="15"/>
  <c r="K14" i="15"/>
  <c r="L14" i="15"/>
  <c r="M14" i="15"/>
  <c r="D15" i="15"/>
  <c r="E15" i="15"/>
  <c r="F15" i="15"/>
  <c r="G15" i="15"/>
  <c r="H15" i="15"/>
  <c r="I15" i="15"/>
  <c r="J15" i="15"/>
  <c r="K15" i="15"/>
  <c r="L15" i="15"/>
  <c r="M15" i="15"/>
  <c r="D16" i="15"/>
  <c r="E16" i="15"/>
  <c r="F16" i="15"/>
  <c r="G16" i="15"/>
  <c r="H16" i="15"/>
  <c r="I16" i="15"/>
  <c r="J16" i="15"/>
  <c r="K16" i="15"/>
  <c r="L16" i="15"/>
  <c r="M16" i="15"/>
  <c r="D35" i="15"/>
  <c r="E35" i="15"/>
  <c r="F35" i="15"/>
  <c r="G35" i="15"/>
  <c r="H35" i="15"/>
  <c r="I35" i="15"/>
  <c r="J35" i="15"/>
  <c r="K35" i="15"/>
  <c r="L35" i="15"/>
  <c r="M35" i="15"/>
  <c r="D38" i="15"/>
  <c r="E38" i="15"/>
  <c r="F38" i="15"/>
  <c r="G38" i="15"/>
  <c r="H38" i="15"/>
  <c r="I38" i="15"/>
  <c r="J38" i="15"/>
  <c r="K38" i="15"/>
  <c r="L38" i="15"/>
  <c r="M38" i="15"/>
  <c r="D39" i="15"/>
  <c r="E39" i="15"/>
  <c r="F39" i="15"/>
  <c r="G39" i="15"/>
  <c r="H39" i="15"/>
  <c r="I39" i="15"/>
  <c r="J39" i="15"/>
  <c r="K39" i="15"/>
  <c r="L39" i="15"/>
  <c r="M39" i="15"/>
  <c r="D40" i="15"/>
  <c r="E40" i="15"/>
  <c r="F40" i="15"/>
  <c r="G40" i="15"/>
  <c r="H40" i="15"/>
  <c r="I40" i="15"/>
  <c r="J40" i="15"/>
  <c r="K40" i="15"/>
  <c r="L40" i="15"/>
  <c r="M40" i="15"/>
  <c r="D43" i="15"/>
  <c r="E43" i="15"/>
  <c r="F43" i="15"/>
  <c r="G43" i="15"/>
  <c r="H43" i="15"/>
  <c r="I43" i="15"/>
  <c r="J43" i="15"/>
  <c r="K43" i="15"/>
  <c r="L43" i="15"/>
  <c r="M43" i="15"/>
  <c r="H27" i="3"/>
  <c r="I27" i="3"/>
  <c r="J27" i="3"/>
  <c r="K27" i="3"/>
  <c r="L27" i="3"/>
  <c r="M27" i="3"/>
  <c r="N27" i="3"/>
  <c r="O27" i="3"/>
  <c r="P27" i="3"/>
  <c r="Q27" i="3"/>
  <c r="H28" i="3"/>
  <c r="I28" i="3"/>
  <c r="J28" i="3"/>
  <c r="K28" i="3"/>
  <c r="L28" i="3"/>
  <c r="M28" i="3"/>
  <c r="N28" i="3"/>
  <c r="O28" i="3"/>
  <c r="P28" i="3"/>
  <c r="Q28" i="3"/>
  <c r="H29" i="3"/>
  <c r="I29" i="3"/>
  <c r="J29" i="3"/>
  <c r="K29" i="3"/>
  <c r="L29" i="3"/>
  <c r="M29" i="3"/>
  <c r="N29" i="3"/>
  <c r="O29" i="3"/>
  <c r="P29" i="3"/>
  <c r="Q29" i="3"/>
  <c r="H31" i="3"/>
  <c r="I31" i="3"/>
  <c r="J31" i="3"/>
  <c r="K31" i="3"/>
  <c r="L31" i="3"/>
  <c r="M31" i="3"/>
  <c r="N31" i="3"/>
  <c r="O31" i="3"/>
  <c r="P31" i="3"/>
  <c r="Q31" i="3"/>
  <c r="H32" i="3"/>
  <c r="I32" i="3"/>
  <c r="J32" i="3"/>
  <c r="K32" i="3"/>
  <c r="L32" i="3"/>
  <c r="M32" i="3"/>
  <c r="N32" i="3"/>
  <c r="O32" i="3"/>
  <c r="P32" i="3"/>
  <c r="Q32" i="3"/>
  <c r="H34" i="3"/>
  <c r="I34" i="3"/>
  <c r="J34" i="3"/>
  <c r="K34" i="3"/>
  <c r="L34" i="3"/>
  <c r="M34" i="3"/>
  <c r="N34" i="3"/>
  <c r="O34" i="3"/>
  <c r="P34" i="3"/>
  <c r="Q34" i="3"/>
  <c r="H35" i="3"/>
  <c r="I35" i="3"/>
  <c r="J35" i="3"/>
  <c r="K35" i="3"/>
  <c r="L35" i="3"/>
  <c r="M35" i="3"/>
  <c r="N35" i="3"/>
  <c r="O35" i="3"/>
  <c r="P35" i="3"/>
  <c r="Q35" i="3"/>
  <c r="H36" i="3"/>
  <c r="I36" i="3"/>
  <c r="J36" i="3"/>
  <c r="K36" i="3"/>
  <c r="L36" i="3"/>
  <c r="M36" i="3"/>
  <c r="N36" i="3"/>
  <c r="O36" i="3"/>
  <c r="P36" i="3"/>
  <c r="Q36" i="3"/>
  <c r="H39" i="3"/>
  <c r="I39" i="3"/>
  <c r="J39" i="3"/>
  <c r="K39" i="3"/>
  <c r="L39" i="3"/>
  <c r="M39" i="3"/>
  <c r="N39" i="3"/>
  <c r="O39" i="3"/>
  <c r="P39" i="3"/>
  <c r="Q39" i="3"/>
  <c r="H40" i="3"/>
  <c r="I40" i="3"/>
  <c r="J40" i="3"/>
  <c r="K40" i="3"/>
  <c r="L40" i="3"/>
  <c r="M40" i="3"/>
  <c r="N40" i="3"/>
  <c r="O40" i="3"/>
  <c r="P40" i="3"/>
  <c r="Q4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tc={AC009A31-7FB1-4F88-8C74-71AFE49D601B}</author>
    <author>tc={425384A7-C135-4D9D-9C10-3FDA593906CA}</author>
    <author>tc={BA3B8A10-0DA0-4CEB-8661-E49285D3CA25}</author>
    <author>tc={F8D981EB-1BA6-4A48-AE39-3F4F1AA3A1A8}</author>
  </authors>
  <commentList>
    <comment ref="D7" authorId="0" shapeId="0" xr:uid="{AC009A31-7FB1-4F88-8C74-71AFE49D601B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- BDT 50 Crores</t>
      </text>
    </comment>
    <comment ref="C16" authorId="1" shapeId="0" xr:uid="{425384A7-C135-4D9D-9C10-3FDA593906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 loan + acceptance interest </t>
      </text>
    </comment>
    <comment ref="C36" authorId="2" shapeId="0" xr:uid="{BA3B8A10-0DA0-4CEB-8661-E49285D3CA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Excise Duty, bank charges + FX loss </t>
      </text>
    </comment>
    <comment ref="D41" authorId="3" shapeId="0" xr:uid="{F8D981EB-1BA6-4A48-AE39-3F4F1AA3A1A8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as usually 1–3% of cash</t>
      </text>
    </comment>
  </commentList>
</comments>
</file>

<file path=xl/sharedStrings.xml><?xml version="1.0" encoding="utf-8"?>
<sst xmlns="http://schemas.openxmlformats.org/spreadsheetml/2006/main" count="909" uniqueCount="570">
  <si>
    <t>Income Statement</t>
  </si>
  <si>
    <t>Particulars</t>
  </si>
  <si>
    <t>Gross profit</t>
  </si>
  <si>
    <t>Operating expenses</t>
  </si>
  <si>
    <t>Selling &amp; distribution expenses</t>
  </si>
  <si>
    <t>Administrative expenses</t>
  </si>
  <si>
    <t>Operating profit</t>
  </si>
  <si>
    <t>Other income/Miscellaneous income</t>
  </si>
  <si>
    <t>-</t>
  </si>
  <si>
    <t>Non-operating income</t>
  </si>
  <si>
    <t>Finance income</t>
  </si>
  <si>
    <t>Finance costs</t>
  </si>
  <si>
    <t>Profit before taxation</t>
  </si>
  <si>
    <t>Income tax expense</t>
  </si>
  <si>
    <t>Current Tax</t>
  </si>
  <si>
    <t>Deferred Tax</t>
  </si>
  <si>
    <t>Profit after tax</t>
  </si>
  <si>
    <t>Earnings Per Share (EPS)</t>
  </si>
  <si>
    <t>Balance Sheet</t>
  </si>
  <si>
    <t>Intangible assets</t>
  </si>
  <si>
    <t>Right-of-Use (ROU) asset</t>
  </si>
  <si>
    <t>Other Non-current assets</t>
  </si>
  <si>
    <t>Investments</t>
  </si>
  <si>
    <t>Total Non-current assets</t>
  </si>
  <si>
    <t>Inventories</t>
  </si>
  <si>
    <t>Trade and other receivables</t>
  </si>
  <si>
    <t>Investment</t>
  </si>
  <si>
    <t>Advances, deposits and prepayments</t>
  </si>
  <si>
    <t>Short term investments</t>
  </si>
  <si>
    <t>Cash and cash equivalents</t>
  </si>
  <si>
    <t>Total Current assets</t>
  </si>
  <si>
    <t>Total assets</t>
  </si>
  <si>
    <t>Share Premium</t>
  </si>
  <si>
    <t>Revaluation Reserve</t>
  </si>
  <si>
    <t>Retained Earnings</t>
  </si>
  <si>
    <t>Share Money Deposit</t>
  </si>
  <si>
    <t>Equity attributable to owners of the company</t>
  </si>
  <si>
    <t>Total equity</t>
  </si>
  <si>
    <t>Long Term Borrowings/Loan</t>
  </si>
  <si>
    <t>Deferred Tax Liabilities</t>
  </si>
  <si>
    <t>UNDP Fund</t>
  </si>
  <si>
    <t>Total Non-current liabilities</t>
  </si>
  <si>
    <t>Trade and other payables</t>
  </si>
  <si>
    <t>Short term loan</t>
  </si>
  <si>
    <t>Current Portion of Long Term Borrowings/Loan</t>
  </si>
  <si>
    <t>Current portion of lease obligation/ Finance</t>
  </si>
  <si>
    <t>Accruals and provisions</t>
  </si>
  <si>
    <t>Unclaimed Dividend</t>
  </si>
  <si>
    <t>Total Current liabilities</t>
  </si>
  <si>
    <t>Total equity and liabilities</t>
  </si>
  <si>
    <t>Net Asset Value (NAV)</t>
  </si>
  <si>
    <t>Net Asset Value (NAV) including Revaluation Surplus</t>
  </si>
  <si>
    <t>Net Asset Value (NAV) excluding Revaluation Surplus</t>
  </si>
  <si>
    <t>Payroll and Other Income</t>
  </si>
  <si>
    <t>Cash Received from customers</t>
  </si>
  <si>
    <t>Cash Receipts from Other Income</t>
  </si>
  <si>
    <t>Payment to Suppliers for Goods, Services and Others</t>
  </si>
  <si>
    <t>Payment to employees</t>
  </si>
  <si>
    <t>Cash generated from operation</t>
  </si>
  <si>
    <t>Payment for WPPF</t>
  </si>
  <si>
    <t>Payment against Tax and VAT</t>
  </si>
  <si>
    <t>A. Net cash from operating activities</t>
  </si>
  <si>
    <t>Acquisition of property, plant and equipment</t>
  </si>
  <si>
    <t>Interest income from FDR &amp; IPO</t>
  </si>
  <si>
    <t>Encash in long term/term deposits/ Increase/(Decrease) in Long term and other investment / Long Term Investment (Payment)/ Encasement-Net</t>
  </si>
  <si>
    <t>Encash in short term/term deposits</t>
  </si>
  <si>
    <t>Payment for Intangible Assets</t>
  </si>
  <si>
    <t>Proceeds from sale of property, plant and equipment</t>
  </si>
  <si>
    <t>B. Net cash from/(used in) investing activities</t>
  </si>
  <si>
    <t>Share money refund/deposit</t>
  </si>
  <si>
    <t>Dividends paid</t>
  </si>
  <si>
    <t>Received from UNDP</t>
  </si>
  <si>
    <t>Lease Payments</t>
  </si>
  <si>
    <t>C.Net cash used in financing activities</t>
  </si>
  <si>
    <t>D. Net increase/(decrease) in cash (A+B+C)</t>
  </si>
  <si>
    <t>E. Cash and cash equivalent at beginning of the year</t>
  </si>
  <si>
    <t>F. Cash and cash equivalent at end of the year</t>
  </si>
  <si>
    <t>Consolidated Net Operating Cash Flow Per Share (NOCFPS)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</si>
  <si>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</si>
  <si>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</si>
  <si>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</si>
  <si>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</si>
  <si>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</si>
  <si>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</si>
  <si>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</si>
  <si>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Net Profit Margin</t>
  </si>
  <si>
    <t>Retained Earnings%</t>
  </si>
  <si>
    <t>Self Sustained Growth Rate</t>
  </si>
  <si>
    <t>Inventory Turnover</t>
  </si>
  <si>
    <t>Fixed Asset Turnover</t>
  </si>
  <si>
    <t>CFO/Sales</t>
  </si>
  <si>
    <t>CFO/Total Assets</t>
  </si>
  <si>
    <t>CFO/Total Debt</t>
  </si>
  <si>
    <t>Cost of goods sold</t>
  </si>
  <si>
    <t>Walton Hi-Tech Industries PLC</t>
  </si>
  <si>
    <t>WALTONHIL</t>
  </si>
  <si>
    <t>#</t>
  </si>
  <si>
    <t>Years</t>
  </si>
  <si>
    <t>Market Capitalization</t>
  </si>
  <si>
    <t>Number of Shares Outstanding</t>
  </si>
  <si>
    <t>Company Name</t>
  </si>
  <si>
    <t>Sales Growth</t>
  </si>
  <si>
    <t>COGS</t>
  </si>
  <si>
    <t>Gross Profit</t>
  </si>
  <si>
    <t>EBITDA</t>
  </si>
  <si>
    <t>Depreciation</t>
  </si>
  <si>
    <t>Earnings Before Tax</t>
  </si>
  <si>
    <t>Tax</t>
  </si>
  <si>
    <t>Net Profit</t>
  </si>
  <si>
    <t>Earnings per Share</t>
  </si>
  <si>
    <t>EPS Growth %</t>
  </si>
  <si>
    <t>Dividend per Share</t>
  </si>
  <si>
    <t>Dividend payout ratio</t>
  </si>
  <si>
    <t>BDT in Crore</t>
  </si>
  <si>
    <t>Dividend Per Share</t>
  </si>
  <si>
    <t>Cash Flow Statement</t>
  </si>
  <si>
    <t>Amortization</t>
  </si>
  <si>
    <t>Depreciation &amp; Amortization</t>
  </si>
  <si>
    <t>Mean</t>
  </si>
  <si>
    <t>Median</t>
  </si>
  <si>
    <t>Purchase</t>
  </si>
  <si>
    <t>Sales revenue, net</t>
  </si>
  <si>
    <t>Assumptions:</t>
  </si>
  <si>
    <t>Face Value Per Share</t>
  </si>
  <si>
    <t>Ticker: </t>
  </si>
  <si>
    <t>Exchange: </t>
  </si>
  <si>
    <t>DSE</t>
  </si>
  <si>
    <t>Industry: </t>
  </si>
  <si>
    <t>Household Appliances</t>
  </si>
  <si>
    <t>Sector: </t>
  </si>
  <si>
    <t>Consumer Durables</t>
  </si>
  <si>
    <t>Historical Financial Statements - Walton Hi-Tech Industries PLC</t>
  </si>
  <si>
    <t>Profit before WPPF &amp; Tax</t>
  </si>
  <si>
    <t>Contribution to WPPF</t>
  </si>
  <si>
    <t>Non-Current Assets</t>
  </si>
  <si>
    <t>Intangible Assets</t>
  </si>
  <si>
    <t>Current Assets</t>
  </si>
  <si>
    <t>Trade and Other Receivables</t>
  </si>
  <si>
    <t>Investment in Securities</t>
  </si>
  <si>
    <t>Total Current Assets</t>
  </si>
  <si>
    <t>Share Capital</t>
  </si>
  <si>
    <t>Non-Current Liabilities</t>
  </si>
  <si>
    <t>Lease Liability</t>
  </si>
  <si>
    <t>Current Liabilities</t>
  </si>
  <si>
    <t>Total Current Liabilities</t>
  </si>
  <si>
    <t>Total</t>
  </si>
  <si>
    <t>Encashment / (Payment) of Investments in Securities</t>
  </si>
  <si>
    <t>Received from Dividend and Other lnvestment lncome</t>
  </si>
  <si>
    <t>7-Y Trend</t>
  </si>
  <si>
    <t>Ratio Analysis - Walton Hi-Tech Industries PLC</t>
  </si>
  <si>
    <t>Model Instructions &amp; Color Coding</t>
  </si>
  <si>
    <t>Purpose of This Model</t>
  </si>
  <si>
    <t>This discounted cash flow (DCF) model is designed to estimate the intrinsic value of Walton Hi-Tech Industries PLC. It integrates a detailed, driver-based forecast of the company's financial statements to determine a fair value per share, providing a data-driven foundation for investment analysis.</t>
  </si>
  <si>
    <t>Model Structure</t>
  </si>
  <si>
    <t>The model is built on a three-statement framework (Income Statement, Balance Sheet, Cash Flow Statement) and follows a logical flow:</t>
  </si>
  <si>
    <t>1. Assumptions: All forecasting drivers are input here.</t>
  </si>
  <si>
    <t>2. Financial Statements: The model projects future performance based on the drivers.</t>
  </si>
  <si>
    <t>3. Valuation: The projected free cash flows are discounted to present value.</t>
  </si>
  <si>
    <t>Color Coding &amp; Conventions</t>
  </si>
  <si>
    <t>To ensure clarity and ease of use, please adhere to the following color-coding system:</t>
  </si>
  <si>
    <t>Color</t>
  </si>
  <si>
    <t>Meaning</t>
  </si>
  <si>
    <t>Hard-coded Input / Assumption</t>
  </si>
  <si>
    <t>Formula / Calculation</t>
  </si>
  <si>
    <t>Link to Another Sheet</t>
  </si>
  <si>
    <t>Blue 🔵</t>
  </si>
  <si>
    <t>Black ⚫</t>
  </si>
  <si>
    <t>Green 🟢</t>
  </si>
  <si>
    <t>Asset Turnover</t>
  </si>
  <si>
    <t>Capital Turnover</t>
  </si>
  <si>
    <t>Debtor Turnover</t>
  </si>
  <si>
    <t>Creditor Turnover</t>
  </si>
  <si>
    <t>Year</t>
  </si>
  <si>
    <t>Tax Rate</t>
  </si>
  <si>
    <t>FY 2026</t>
  </si>
  <si>
    <t>FY 2027</t>
  </si>
  <si>
    <t>FY 2028</t>
  </si>
  <si>
    <t>FY 2029</t>
  </si>
  <si>
    <t>Total Assets</t>
  </si>
  <si>
    <t>Total Equity</t>
  </si>
  <si>
    <t>Weighted Average Cost of Capital</t>
  </si>
  <si>
    <t>Total Debt</t>
  </si>
  <si>
    <t>Average</t>
  </si>
  <si>
    <t>Cost of Debt</t>
  </si>
  <si>
    <t>Cost of Equity</t>
  </si>
  <si>
    <t>Pre-tax Cost of Debt</t>
  </si>
  <si>
    <t>Risk Free Rate</t>
  </si>
  <si>
    <t>Equity Risk Premium</t>
  </si>
  <si>
    <t>After Tax Cost of Debt</t>
  </si>
  <si>
    <t>Capital Structure</t>
  </si>
  <si>
    <t>Current</t>
  </si>
  <si>
    <t>Total Capitalization</t>
  </si>
  <si>
    <t>Debt / Equity</t>
  </si>
  <si>
    <t>Equity Weight</t>
  </si>
  <si>
    <t>Debt Weight</t>
  </si>
  <si>
    <t>WACC</t>
  </si>
  <si>
    <t>Projected Tax Rate</t>
  </si>
  <si>
    <t>Justification for DCF Model</t>
  </si>
  <si>
    <t>Income Statement - Walton Hi-Tech Industries PLC</t>
  </si>
  <si>
    <t>Balance Sheet - Walton Hi-Tech Industries PLC</t>
  </si>
  <si>
    <t>Cash Flow Statement - Walton Hi-Tech Industries PLC</t>
  </si>
  <si>
    <t>Days Inventory Outstanding (DIO)</t>
  </si>
  <si>
    <t>Days Sales Outstanding (DSO)</t>
  </si>
  <si>
    <t>Days Payable Outstanding (DPO)</t>
  </si>
  <si>
    <t>CapEx % of Revenue</t>
  </si>
  <si>
    <t>A terminal growth rate of 4.0% is assumed. This is a conservative estimate that reflects the company's transition to a mature state by the end of the forecast period. It is below the long-term nominal GDP growth rate of Bangladesh, ensuring the company does not outgrow the economy in perpetuity.</t>
  </si>
  <si>
    <t>Return on Equity (ROE)</t>
  </si>
  <si>
    <t>Return on Assets (ROA)</t>
  </si>
  <si>
    <t>Inventory Days (DIO)</t>
  </si>
  <si>
    <t>Receivable Days (DSO)</t>
  </si>
  <si>
    <t>Payable Days (DPO)</t>
  </si>
  <si>
    <t>Cash Conversion Cycle (Days)</t>
  </si>
  <si>
    <t>Debt-to-Equity (D/E)</t>
  </si>
  <si>
    <t>Debt-to-Assets</t>
  </si>
  <si>
    <t>Current Ratio</t>
  </si>
  <si>
    <t>Quick Ratio</t>
  </si>
  <si>
    <t>Cash Ratio</t>
  </si>
  <si>
    <t>Liquidity</t>
  </si>
  <si>
    <t>Efficiency Ratios</t>
  </si>
  <si>
    <t>Profitability Ratios</t>
  </si>
  <si>
    <t>Leverage &amp; Solvency Ratios</t>
  </si>
  <si>
    <t>Other Ratios</t>
  </si>
  <si>
    <t>CapEx (% of Sales)</t>
  </si>
  <si>
    <t>Historical Average</t>
  </si>
  <si>
    <t>Effective Tax Rate*</t>
  </si>
  <si>
    <t>*Tax Rate Assumptions:</t>
  </si>
  <si>
    <t>Graduated schedule based on disclosed changes to hi-tech park and manufacturing taxes.</t>
  </si>
  <si>
    <t>Pre-tax Cost of Debt:</t>
  </si>
  <si>
    <t>Corporate Credit Spread</t>
  </si>
  <si>
    <t>*Cost of Debt:</t>
  </si>
  <si>
    <t>Growth Ratios</t>
  </si>
  <si>
    <t>Date</t>
  </si>
  <si>
    <t>Price</t>
  </si>
  <si>
    <t>Return</t>
  </si>
  <si>
    <t>Beta Drifting</t>
  </si>
  <si>
    <t>Levered Raw Beta</t>
  </si>
  <si>
    <t>Raw Beta Weight</t>
  </si>
  <si>
    <t xml:space="preserve">Market Beta </t>
  </si>
  <si>
    <t>Market Beta Weight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</si>
  <si>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</si>
  <si>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</si>
  <si>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</si>
  <si>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</si>
  <si>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</si>
  <si>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</si>
  <si>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</si>
  <si>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</si>
  <si>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</si>
  <si>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</si>
  <si>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</si>
  <si>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</si>
  <si>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</si>
  <si>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</si>
  <si>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</si>
  <si>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</si>
  <si>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</si>
  <si>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</si>
  <si>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</si>
  <si>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</si>
  <si>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</si>
  <si>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</si>
  <si>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</si>
  <si>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Beta Calculation [Regression - 5 Years Monthly]:</t>
  </si>
  <si>
    <t>DSEX Monthly Return</t>
  </si>
  <si>
    <t>WALTONHIL Monthly Return</t>
  </si>
  <si>
    <t>WALTONHIL Return</t>
  </si>
  <si>
    <t>EBIT</t>
  </si>
  <si>
    <t>Other income</t>
  </si>
  <si>
    <t>Total Liabilities</t>
  </si>
  <si>
    <t>Property, plant and equipment, net</t>
  </si>
  <si>
    <t>Net Cash from Operations</t>
  </si>
  <si>
    <t>Capital Expenditures</t>
  </si>
  <si>
    <t>Net Cash from Investing</t>
  </si>
  <si>
    <t>Net Cash from Financing</t>
  </si>
  <si>
    <t>Beginning Cash</t>
  </si>
  <si>
    <t>Ending Cash</t>
  </si>
  <si>
    <t>Cash Flow from Operations</t>
  </si>
  <si>
    <t>Cash Flow from Investing</t>
  </si>
  <si>
    <t>Cash Flow from Financing</t>
  </si>
  <si>
    <t>Net Change in Cash</t>
  </si>
  <si>
    <t>Air Conditioner</t>
  </si>
  <si>
    <t>Television</t>
  </si>
  <si>
    <t>Total (before VAT)</t>
  </si>
  <si>
    <t>Less: VAT</t>
  </si>
  <si>
    <t>Total (after VAT)</t>
  </si>
  <si>
    <t>Freezer, Refrigerator &amp; Compressor</t>
  </si>
  <si>
    <t>Electrical Appliances (EAP)</t>
  </si>
  <si>
    <t>Home Appliances (HAP)</t>
  </si>
  <si>
    <t>Elevator</t>
  </si>
  <si>
    <t>Service Parts</t>
  </si>
  <si>
    <t>Cable</t>
  </si>
  <si>
    <t>Others (Mold, Die, Screw, Nut &amp; Bolt)</t>
  </si>
  <si>
    <t>Revenue Segment (Local + Export)</t>
  </si>
  <si>
    <t>Revenue Segment</t>
  </si>
  <si>
    <t>2019 
Local Sales (Net)</t>
  </si>
  <si>
    <t>2019 
Export Sales</t>
  </si>
  <si>
    <t>2019 
Total Sales</t>
  </si>
  <si>
    <t>2020 
Local Sales (Net)</t>
  </si>
  <si>
    <t>2020 
Export Sales</t>
  </si>
  <si>
    <t>2020 
Total Sales</t>
  </si>
  <si>
    <t>2021 
Local Sales (Net)</t>
  </si>
  <si>
    <t>2021 
Export Sales</t>
  </si>
  <si>
    <t>2021 
Total Sales</t>
  </si>
  <si>
    <t>2022 
Local Sales (Net)</t>
  </si>
  <si>
    <t>2022 
Export Sales</t>
  </si>
  <si>
    <t>2022 
Total Sales</t>
  </si>
  <si>
    <t>2023 
Local Sales (Net)</t>
  </si>
  <si>
    <t>2023 
Export Sales</t>
  </si>
  <si>
    <t>2023 
Total Sales</t>
  </si>
  <si>
    <t>2024 
Local Sales (Net)</t>
  </si>
  <si>
    <t>2024 
Export Sales</t>
  </si>
  <si>
    <t>2024 
Total Sales</t>
  </si>
  <si>
    <t>2025
 Local Sales (Net)</t>
  </si>
  <si>
    <t>2025 
Export Sales</t>
  </si>
  <si>
    <t>2025 
Total Sales</t>
  </si>
  <si>
    <t>VAT Rate</t>
  </si>
  <si>
    <t>Others (Mold, Die, SBN)</t>
  </si>
  <si>
    <t>Total Revenue (before VAT)</t>
  </si>
  <si>
    <t>Merger Integration Costs</t>
  </si>
  <si>
    <t>Breakdown of Yearly Sales Revenue:</t>
  </si>
  <si>
    <t>Segment-wise Sales Revenue:</t>
  </si>
  <si>
    <t>Net Sales Revenue</t>
  </si>
  <si>
    <t>Revenue Forecast</t>
  </si>
  <si>
    <t>Kept constant per regulatory baseline</t>
  </si>
  <si>
    <t>Low growth as TV market shifting to imported premium brands (Samsung, LG), local players losing share &amp; cost pressures from display imports</t>
  </si>
  <si>
    <t xml:space="preserve">Moderate but volatile growth as high sensitivity to economic cycles, climate change so long-term positive, VAT on AC </t>
  </si>
  <si>
    <t>High growth as fast-growing segment &amp; long-term growth still strong (middle-class growth)</t>
  </si>
  <si>
    <t>Moderate growth as demand driven by middle class expansion</t>
  </si>
  <si>
    <t>Steady growth as long-term opportunity &amp; dependent on construction sector (currently weak)</t>
  </si>
  <si>
    <t>Steady growth as new factory integration and domestic substitution for imports</t>
  </si>
  <si>
    <t>High sustainable growth as product installed base increasing &amp; recurring, stable revenue source</t>
  </si>
  <si>
    <t>Moderate growth as B2B component sales</t>
  </si>
  <si>
    <t>Strong growth as strong IT portfolio, Bangladesh IT demand rising &amp; synergies with Walton distribution</t>
  </si>
  <si>
    <t>High growth and then stabilizes in the long-term</t>
  </si>
  <si>
    <t>Moderate growth as mature market, 65–75% market share, low incremental volume growth &amp; margin pressure due to VAT (7.5%)</t>
  </si>
  <si>
    <t>VAT</t>
  </si>
  <si>
    <t>Net Revenue</t>
  </si>
  <si>
    <t>YoY growth %</t>
  </si>
  <si>
    <t>Net Income</t>
  </si>
  <si>
    <t>Other Investing Activities</t>
  </si>
  <si>
    <t>Issuance of Common Stock</t>
  </si>
  <si>
    <t>Other Financing Activities</t>
  </si>
  <si>
    <t>Accounts Receivable</t>
  </si>
  <si>
    <t>Other Receivables</t>
  </si>
  <si>
    <t>Accounts Payable</t>
  </si>
  <si>
    <t>Accrued Expenses</t>
  </si>
  <si>
    <t>Cash &amp; Cash Equivalents</t>
  </si>
  <si>
    <t>Inventory</t>
  </si>
  <si>
    <t>Prepaid Expenses</t>
  </si>
  <si>
    <t>Property, Plant &amp; Equipment</t>
  </si>
  <si>
    <t>Right-of-Use Assets</t>
  </si>
  <si>
    <t>Current Portion of LT Debt</t>
  </si>
  <si>
    <t>Lease Liabilities</t>
  </si>
  <si>
    <t>Shareholders' Equity</t>
  </si>
  <si>
    <t>Common Stock</t>
  </si>
  <si>
    <t>Depreciation and Amortization Schedule</t>
  </si>
  <si>
    <t>Lithium Battery</t>
  </si>
  <si>
    <t>Growth %</t>
  </si>
  <si>
    <t>WDIL IT Products</t>
  </si>
  <si>
    <t>Lithium Battery (WHIL)</t>
  </si>
  <si>
    <t>1. REVENUE DRIVERS</t>
  </si>
  <si>
    <t>WDIL IT Products Revenue</t>
  </si>
  <si>
    <t>Post-acquision revenue (Digi-Tech's revenue tk 1015.91 cr during 2024)</t>
  </si>
  <si>
    <t>Lithium Battery Revenue</t>
  </si>
  <si>
    <t>80,000 units at a industry average price of tk. 8000 (estimated)</t>
  </si>
  <si>
    <t>2. PROFITABILITY (% of Sales)</t>
  </si>
  <si>
    <t>COGS  (% of Sales)</t>
  </si>
  <si>
    <r>
      <rPr>
        <b/>
        <sz val="11"/>
        <rFont val="Calibri"/>
        <family val="2"/>
      </rPr>
      <t>Vertical Integration Benefit: </t>
    </r>
    <r>
      <rPr>
        <sz val="11"/>
        <rFont val="calibri"/>
        <family val="2"/>
      </rPr>
      <t>Slight improvement from as cost controls and high-margin products (batteries) offset inflation.</t>
    </r>
  </si>
  <si>
    <t>SG&amp;A Expenses (% of Sales)</t>
  </si>
  <si>
    <t>High due to competition but improving gradually from 13.05% (2025) as merger synergies are realized.</t>
  </si>
  <si>
    <t>Merger integration costs (% sales)</t>
  </si>
  <si>
    <t>4. CAPITAL &amp; FINANCING</t>
  </si>
  <si>
    <t>5. Lithium Project CAPEX (BDT Crore)</t>
  </si>
  <si>
    <t>One-time CAPEX (BDT 113.66 Cr) for the battery project. [10-year amortization estimated]</t>
  </si>
  <si>
    <t>6. Interest Rate on Debt</t>
  </si>
  <si>
    <t xml:space="preserve">A pre-tax cost of debt of 11.5% is assumed. </t>
  </si>
  <si>
    <t>7. Dividend Payout Ratio</t>
  </si>
  <si>
    <r>
      <rPr>
        <b/>
        <sz val="11"/>
        <rFont val="Calibri"/>
        <family val="2"/>
      </rPr>
      <t>New Policy: </t>
    </r>
    <r>
      <rPr>
        <sz val="11"/>
        <rFont val="calibri"/>
        <family val="2"/>
      </rPr>
      <t>Reflects the permanent shift down from historical levels to retain earnings for growth.</t>
    </r>
  </si>
  <si>
    <t>100% tax exemption on business profits</t>
  </si>
  <si>
    <t>70% tax exemption [ 22.5% * (1 - 0.70)]</t>
  </si>
  <si>
    <t>FY 2030</t>
  </si>
  <si>
    <t>70% tax exemption</t>
  </si>
  <si>
    <t>FY 2031</t>
  </si>
  <si>
    <t>FY 2032 + (Terminal)</t>
  </si>
  <si>
    <t>Full statutory rate applies</t>
  </si>
  <si>
    <t>Working Capital Schedule</t>
  </si>
  <si>
    <t>Current assets:</t>
  </si>
  <si>
    <r>
      <rPr>
        <b/>
        <sz val="11"/>
        <color theme="1"/>
        <rFont val="Aptos Narrow"/>
        <family val="2"/>
        <scheme val="minor"/>
      </rPr>
      <t>Note:</t>
    </r>
    <r>
      <rPr>
        <sz val="11"/>
        <color theme="1"/>
        <rFont val="Aptos Narrow"/>
        <family val="2"/>
        <scheme val="minor"/>
      </rPr>
      <t xml:space="preserve"> Historical DIO/DSO/DPO based on average balances</t>
    </r>
  </si>
  <si>
    <t>Days prepaid</t>
  </si>
  <si>
    <t>Current liabilities</t>
  </si>
  <si>
    <t>Days acrrued expenses payable</t>
  </si>
  <si>
    <t>Total Operating Working Capital</t>
  </si>
  <si>
    <t>Revenue Growth %</t>
  </si>
  <si>
    <t>Gross Margin %</t>
  </si>
  <si>
    <t>Total Operating Expenses</t>
  </si>
  <si>
    <t>OpEx % of Revenue</t>
  </si>
  <si>
    <t>EBITDA Margin %</t>
  </si>
  <si>
    <t>EBIT Margin %</t>
  </si>
  <si>
    <t>Other Income/(Expense)</t>
  </si>
  <si>
    <t>Finance Income</t>
  </si>
  <si>
    <t>Finance Costs</t>
  </si>
  <si>
    <t>Profit Before WPPF &amp; Tax</t>
  </si>
  <si>
    <t>Profit Before Taxation</t>
  </si>
  <si>
    <t>Income Tax Expense</t>
  </si>
  <si>
    <t>Sales Revenue</t>
  </si>
  <si>
    <t>COGS % of Sales</t>
  </si>
  <si>
    <t>SG&amp;A</t>
  </si>
  <si>
    <t>SG&amp;A % of Sales</t>
  </si>
  <si>
    <t>Merger Integration Costs (% sales)</t>
  </si>
  <si>
    <t>Net Margin</t>
  </si>
  <si>
    <t>Other Non-Cash Adjustments</t>
  </si>
  <si>
    <t>Change in Accounts Receivable</t>
  </si>
  <si>
    <t>Change in Inventory</t>
  </si>
  <si>
    <t>Change in Accounts Payable</t>
  </si>
  <si>
    <t>Change in Other WC</t>
  </si>
  <si>
    <t>Sale of Property, Plant &amp; Equipment</t>
  </si>
  <si>
    <t>Sale (Purchase) of Intangibles</t>
  </si>
  <si>
    <t>Short-Term Debt Issued</t>
  </si>
  <si>
    <t>Long-Term Debt Issued</t>
  </si>
  <si>
    <t>Short-Term Debt Repaid</t>
  </si>
  <si>
    <t>Long-Term Debt Repaid</t>
  </si>
  <si>
    <t>Common Dividends Paid</t>
  </si>
  <si>
    <t>Fiscal Year</t>
  </si>
  <si>
    <t>FY 2021</t>
  </si>
  <si>
    <t>FY 2022</t>
  </si>
  <si>
    <t>FY 2023</t>
  </si>
  <si>
    <t>FY 2024</t>
  </si>
  <si>
    <t>FY 2025</t>
  </si>
  <si>
    <t>Period Ending</t>
  </si>
  <si>
    <t>Loss (Gain) From Sale of Assets</t>
  </si>
  <si>
    <t>Asset Writedown &amp; Restructuring Costs</t>
  </si>
  <si>
    <t>Loss (Gain) From Sale of Investments</t>
  </si>
  <si>
    <t>Other Operating Activities</t>
  </si>
  <si>
    <t>Change in Income Taxes</t>
  </si>
  <si>
    <t>Change in Other Net Operating Assets</t>
  </si>
  <si>
    <t>Operating Cash Flow</t>
  </si>
  <si>
    <t>Operating Cash Flow Growth</t>
  </si>
  <si>
    <t>Investing Cash Flow</t>
  </si>
  <si>
    <t>Total Debt Issued</t>
  </si>
  <si>
    <t>Total Debt Repaid</t>
  </si>
  <si>
    <t>Net Debt Issued (Repaid)</t>
  </si>
  <si>
    <t>Financing Cash Flow</t>
  </si>
  <si>
    <t>Miscellaneous Cash Flow Adjustments</t>
  </si>
  <si>
    <t>Net Cash Flow</t>
  </si>
  <si>
    <t>Free Cash Flow</t>
  </si>
  <si>
    <t>Free Cash Flow Growth</t>
  </si>
  <si>
    <t>Free Cash Flow Margin</t>
  </si>
  <si>
    <t>Free Cash Flow Per Share</t>
  </si>
  <si>
    <t>Cash Interest Paid</t>
  </si>
  <si>
    <t>Cash Income Tax Paid</t>
  </si>
  <si>
    <t>Levered Free Cash Flow</t>
  </si>
  <si>
    <t>Unlevered Free Cash Flow</t>
  </si>
  <si>
    <t>Change in Working Capital</t>
  </si>
  <si>
    <t xml:space="preserve">Cash and cash equivalent at beginning </t>
  </si>
  <si>
    <t xml:space="preserve">Cash and cash equivalent at end </t>
  </si>
  <si>
    <t>Net Cash Flow from Operating Activities</t>
  </si>
  <si>
    <t>Net Cash Flow from Investing Activities</t>
  </si>
  <si>
    <t>Net Cash Flow from Financing Activities</t>
  </si>
  <si>
    <t>Cash and cash equivalent at beginning of the year</t>
  </si>
  <si>
    <t>Cash and cash equivalent at end of the year</t>
  </si>
  <si>
    <t>Change in Prepaid Expenses</t>
  </si>
  <si>
    <t>Change in Accrued Expenses</t>
  </si>
  <si>
    <t>One-time costs (50 crore) for Digi-Tech merger integration. (estimated 10-year amortization, starts FY 2027)</t>
  </si>
  <si>
    <t>In line with historical spending to support growth. [Regular Capex (% of revenue)]</t>
  </si>
  <si>
    <t>Operating Assets</t>
  </si>
  <si>
    <t>Opening Operating Assets</t>
  </si>
  <si>
    <t>Add: CapEx</t>
  </si>
  <si>
    <t>Closing Operating Assets</t>
  </si>
  <si>
    <t>Less: D&amp;A (% of Opening Assets)</t>
  </si>
  <si>
    <t>Depreciation &amp; Amortization (% of Opening OA)</t>
  </si>
  <si>
    <t>D&amp;A (% of Opening Assets)</t>
  </si>
  <si>
    <t>Lease Payment</t>
  </si>
  <si>
    <t>Cashflow Statement (Indirect Method - StockAnalysis)</t>
  </si>
  <si>
    <t>Share Capital Proceed through IPO</t>
  </si>
  <si>
    <t>Long Term Loan-Received/(Repaid), Net</t>
  </si>
  <si>
    <t>Short Term Loan-Received/(Repaid), Net</t>
  </si>
  <si>
    <t>Payment for Financial Costs</t>
  </si>
  <si>
    <t>Unclaimed and Undistributed Dividend</t>
  </si>
  <si>
    <t>Short-term Investments</t>
  </si>
  <si>
    <t>Advances, Deposits &amp; Prepayments</t>
  </si>
  <si>
    <t>Other Non-current Assets</t>
  </si>
  <si>
    <t>Total Non-current Assets</t>
  </si>
  <si>
    <t>Short-term Debt</t>
  </si>
  <si>
    <t>Current Portion of Leases</t>
  </si>
  <si>
    <t>Long-term Debt</t>
  </si>
  <si>
    <t>Total Non-current Liabilities</t>
  </si>
  <si>
    <t>Additional Paid-in Capital</t>
  </si>
  <si>
    <t>Total Liabilities and Equity</t>
  </si>
  <si>
    <t>Operating Assets, Net</t>
  </si>
  <si>
    <t>Balance?</t>
  </si>
  <si>
    <t>Cashflow Statement (Direct Method - from Annual Reports)</t>
  </si>
  <si>
    <t>Debt Schedule</t>
  </si>
  <si>
    <t>Short-term Debt/ Revolver</t>
  </si>
  <si>
    <t>Short-term Debt (beginning of year)</t>
  </si>
  <si>
    <t xml:space="preserve">Mandatory issuances / (retirements) </t>
  </si>
  <si>
    <t>Non-mandatory issuances / (retirements)</t>
  </si>
  <si>
    <t>Short-term Debt (end of year)</t>
  </si>
  <si>
    <t>Interest on Short Term Debt</t>
  </si>
  <si>
    <t>Short-term interest rate</t>
  </si>
  <si>
    <t>Interest rate</t>
  </si>
  <si>
    <t>2021 to 2022 (Taka)</t>
  </si>
  <si>
    <t>2020 to 2021 (Taka)</t>
  </si>
  <si>
    <t>Interest on Short Term Loan</t>
  </si>
  <si>
    <t>Interest on Term Loan</t>
  </si>
  <si>
    <t>Interest on Acceptance</t>
  </si>
  <si>
    <t>Interest Expense - Lease</t>
  </si>
  <si>
    <t>Excise Duty, Bank Charges &amp; Others</t>
  </si>
  <si>
    <t>Exchange Loss or (Gain) on Foreign Currency (Note: 33.01)</t>
  </si>
  <si>
    <t>2022 to 2023 (Taka)</t>
  </si>
  <si>
    <t>Exchange Loss or (Gain) on Foreign Currency</t>
  </si>
  <si>
    <t>2024 to 2025 (Taka)</t>
  </si>
  <si>
    <t>2023 to 2024 (Taka)</t>
  </si>
  <si>
    <t>Long-term Debt (beginning of year)</t>
  </si>
  <si>
    <t>Long-term Debt (end of year)</t>
  </si>
  <si>
    <t>Interest on Long-term Debt</t>
  </si>
  <si>
    <t>Long-term interest rate</t>
  </si>
  <si>
    <t>Lease Liabilities (beginning of year)</t>
  </si>
  <si>
    <t>Lease Liabilities (end of year)</t>
  </si>
  <si>
    <t>Interest on Lease Liabilities</t>
  </si>
  <si>
    <t>Lease Liabilities interest rate</t>
  </si>
  <si>
    <t>Cash available to pay down debt</t>
  </si>
  <si>
    <t>Cash at beginning of year</t>
  </si>
  <si>
    <t>Cash flow before debt paydown</t>
  </si>
  <si>
    <t>Minimum cash cushion</t>
  </si>
  <si>
    <t>Total cash available to pay down debt</t>
  </si>
  <si>
    <t>Total issuances / (retirements)</t>
  </si>
  <si>
    <t>Total interest expense</t>
  </si>
  <si>
    <t>Cash at the end of the year</t>
  </si>
  <si>
    <t>Interest income</t>
  </si>
  <si>
    <t>Match? (Y/N)</t>
  </si>
  <si>
    <t>Supplemental Data:</t>
  </si>
  <si>
    <t>Other Finance Costs</t>
  </si>
  <si>
    <t>% of sales</t>
  </si>
  <si>
    <t>Switch</t>
  </si>
  <si>
    <t>On</t>
  </si>
  <si>
    <t>Off</t>
  </si>
  <si>
    <t>Market Cap BDT (mn)</t>
  </si>
  <si>
    <t>Shares Outstanding</t>
  </si>
  <si>
    <t>Current Share Price BDT</t>
  </si>
  <si>
    <t>DCF Valuation - WALTONHIL</t>
  </si>
  <si>
    <t>Changes in Working Capital</t>
  </si>
  <si>
    <t>Taxes</t>
  </si>
  <si>
    <t>Period</t>
  </si>
  <si>
    <t>Bangladesh Bank [as of December 1st 2025]</t>
  </si>
  <si>
    <t>8. Bangladesh 10Y Government Bond</t>
  </si>
  <si>
    <t>Beta (β)</t>
  </si>
  <si>
    <t>Bangladesh 10Y Government Bond</t>
  </si>
  <si>
    <t>2025A</t>
  </si>
  <si>
    <t>FCFF Calculation</t>
  </si>
  <si>
    <t>Total FCFF</t>
  </si>
  <si>
    <t>FCFF</t>
  </si>
  <si>
    <t>Terminal Value</t>
  </si>
  <si>
    <t>PV of FCFF</t>
  </si>
  <si>
    <t>Enterprise Value</t>
  </si>
  <si>
    <t>Equity Value</t>
  </si>
  <si>
    <t>Shares Outstanding (Crores)</t>
  </si>
  <si>
    <t>Bloomberg Adjusted Beta</t>
  </si>
  <si>
    <t>9. Country Default Risk</t>
  </si>
  <si>
    <t>NYU Stern Professor Aswath Damodaran, [July, 2025]</t>
  </si>
  <si>
    <t>10. Equity Risk Premium (Bangladesh), ERP</t>
  </si>
  <si>
    <t>11. Terminal Growth Rate (g)</t>
  </si>
  <si>
    <t>Estimated Per Share Value</t>
  </si>
  <si>
    <t>Add: Cash</t>
  </si>
  <si>
    <t>Less: Debt</t>
  </si>
  <si>
    <t>Growth Rate (g)</t>
  </si>
  <si>
    <t>Sensitivity Anaysis - Enterprise Value</t>
  </si>
  <si>
    <t>Sensitivity Anaysis - Per Share Value</t>
  </si>
  <si>
    <t>5Y Trend</t>
  </si>
  <si>
    <t>Interest Coverage</t>
  </si>
  <si>
    <t>Equity 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</si>
</sst>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#,##0.00_);\(#,##0.00\);\-"/>
    <numFmt numFmtId="165" formatCode="0.00\x"/>
    <numFmt numFmtId="166" formatCode="0.000"/>
    <numFmt numFmtId="167" formatCode="#,##0.0"/>
    <numFmt numFmtId="168" formatCode="0&quot;E&quot;"/>
    <numFmt numFmtId="169" formatCode="0&quot;A&quot;"/>
    <numFmt numFmtId="170" formatCode="_(* #,##0_);_(* \(#,##0\);_(* &quot;-&quot;??_);_(@_)"/>
    <numFmt numFmtId="171" formatCode="0.0000"/>
    <numFmt numFmtId="172" formatCode="#,##0.0000000_);\(#,##0.0000000\)"/>
  </numFmts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0" tint="-0.499984740745262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8"/>
      <color theme="1"/>
      <name val="Calibri"/>
      <family val="2"/>
    </font>
    <font>
      <sz val="11"/>
      <name val="calibri"/>
      <family val="2"/>
    </font>
    <font>
      <sz val="11"/>
      <color rgb="FF00B050"/>
      <name val="Calibri"/>
      <family val="2"/>
    </font>
    <font>
      <b/>
      <sz val="14"/>
      <color theme="0"/>
      <name val="calibri"/>
      <family val="2"/>
    </font>
    <font>
      <i/>
      <sz val="11"/>
      <color theme="1"/>
      <name val="Aptos Narrow"/>
      <family val="2"/>
      <scheme val="minor"/>
    </font>
    <font>
      <sz val="14"/>
      <color theme="0"/>
      <name val="calibri"/>
      <family val="2"/>
    </font>
    <font>
      <sz val="11"/>
      <color rgb="FF0070C0"/>
      <name val="calibri"/>
      <family val="2"/>
    </font>
    <font>
      <b/>
      <sz val="11"/>
      <name val="Calibri"/>
      <family val="2"/>
    </font>
    <font>
      <i/>
      <sz val="11"/>
      <color theme="1" tint="0.499984740745262"/>
      <name val="Aptos Narrow"/>
      <family val="2"/>
      <scheme val="minor"/>
    </font>
    <font>
      <i/>
      <sz val="11"/>
      <color theme="1" tint="0.499984740745262"/>
      <name val="Calibri"/>
      <family val="2"/>
    </font>
    <font>
      <sz val="11"/>
      <color theme="9" tint="-0.249977111117893"/>
      <name val="Calibri"/>
      <family val="2"/>
    </font>
    <font>
      <sz val="11"/>
      <color theme="0"/>
      <name val="Calibri"/>
      <family val="2"/>
    </font>
    <font>
      <b/>
      <sz val="16"/>
      <color theme="0"/>
      <name val="calibri"/>
      <family val="2"/>
    </font>
    <font>
      <b/>
      <u/>
      <sz val="14"/>
      <color theme="1"/>
      <name val="Calibri"/>
      <family val="2"/>
    </font>
    <font>
      <sz val="11"/>
      <color rgb="FF15803D"/>
      <name val="Calibri"/>
      <family val="2"/>
    </font>
    <font>
      <sz val="11"/>
      <color rgb="FFDC2626"/>
      <name val="Calibri"/>
      <family val="2"/>
    </font>
    <font>
      <sz val="11"/>
      <color rgb="FF000000"/>
      <name val="Calibri"/>
      <family val="2"/>
    </font>
    <font>
      <b/>
      <i/>
      <sz val="11"/>
      <color theme="0" tint="-0.499984740745262"/>
      <name val="calibri"/>
      <family val="2"/>
    </font>
    <font>
      <b/>
      <sz val="11"/>
      <color rgb="FF0070C0"/>
      <name val="Calibri"/>
      <family val="2"/>
    </font>
    <font>
      <i/>
      <sz val="11"/>
      <color theme="1" tint="0.249977111117893"/>
      <name val="Aptos Narrow"/>
      <family val="2"/>
      <scheme val="minor"/>
    </font>
    <font>
      <i/>
      <sz val="11"/>
      <color theme="1" tint="0.249977111117893"/>
      <name val="Calibri"/>
      <family val="2"/>
    </font>
    <font>
      <i/>
      <sz val="11"/>
      <color theme="1"/>
      <name val="Calibri"/>
      <family val="2"/>
    </font>
    <font>
      <sz val="11"/>
      <color rgb="FF00B050"/>
      <name val="Aptos Narrow"/>
      <family val="2"/>
      <scheme val="minor"/>
    </font>
    <font>
      <b/>
      <sz val="11"/>
      <color rgb="FF00B050"/>
      <name val="Calibri"/>
      <family val="2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80CAB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0"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38" fontId="4" fillId="0" borderId="0" xfId="0" applyNumberFormat="1" applyFont="1"/>
    <xf numFmtId="38" fontId="3" fillId="0" borderId="0" xfId="0" applyNumberFormat="1" applyFont="1"/>
    <xf numFmtId="40" fontId="4" fillId="0" borderId="0" xfId="0" applyNumberFormat="1" applyFont="1"/>
    <xf numFmtId="3" fontId="4" fillId="0" borderId="0" xfId="0" applyNumberFormat="1" applyFont="1"/>
    <xf numFmtId="0" fontId="3" fillId="0" borderId="0" xfId="0" applyFont="1"/>
    <xf numFmtId="0" fontId="5" fillId="0" borderId="0" xfId="0" applyFont="1"/>
    <xf numFmtId="10" fontId="5" fillId="0" borderId="0" xfId="1" applyNumberFormat="1" applyFont="1"/>
    <xf numFmtId="10" fontId="0" fillId="0" borderId="0" xfId="1" applyNumberFormat="1" applyFont="1"/>
    <xf numFmtId="0" fontId="6" fillId="0" borderId="0" xfId="0" applyFont="1"/>
    <xf numFmtId="0" fontId="6" fillId="0" borderId="3" xfId="0" applyFont="1" applyBorder="1"/>
    <xf numFmtId="2" fontId="0" fillId="0" borderId="0" xfId="0" applyNumberFormat="1"/>
    <xf numFmtId="0" fontId="8" fillId="0" borderId="0" xfId="0" applyFont="1" applyAlignment="1">
      <alignment horizontal="right"/>
    </xf>
    <xf numFmtId="164" fontId="4" fillId="0" borderId="0" xfId="0" applyNumberFormat="1" applyFont="1"/>
    <xf numFmtId="2" fontId="4" fillId="0" borderId="0" xfId="0" applyNumberFormat="1" applyFont="1"/>
    <xf numFmtId="0" fontId="3" fillId="0" borderId="3" xfId="0" applyFont="1" applyBorder="1"/>
    <xf numFmtId="0" fontId="4" fillId="0" borderId="0" xfId="0" applyFont="1" applyAlignment="1">
      <alignment horizontal="left"/>
    </xf>
    <xf numFmtId="4" fontId="4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/>
    <xf numFmtId="1" fontId="4" fillId="0" borderId="0" xfId="0" applyNumberFormat="1" applyFont="1"/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indent="2"/>
    </xf>
    <xf numFmtId="0" fontId="3" fillId="0" borderId="8" xfId="0" applyFont="1" applyBorder="1" applyAlignment="1">
      <alignment horizontal="center" wrapText="1"/>
    </xf>
    <xf numFmtId="0" fontId="4" fillId="0" borderId="0" xfId="0" applyFont="1" applyAlignment="1">
      <alignment horizontal="left" vertical="top"/>
    </xf>
    <xf numFmtId="10" fontId="4" fillId="0" borderId="0" xfId="1" applyNumberFormat="1" applyFont="1"/>
    <xf numFmtId="0" fontId="3" fillId="0" borderId="4" xfId="0" applyFont="1" applyBorder="1"/>
    <xf numFmtId="0" fontId="3" fillId="0" borderId="2" xfId="0" applyFont="1" applyBorder="1"/>
    <xf numFmtId="0" fontId="4" fillId="0" borderId="8" xfId="0" applyFont="1" applyBorder="1" applyAlignment="1">
      <alignment horizontal="left" vertical="top"/>
    </xf>
    <xf numFmtId="0" fontId="4" fillId="0" borderId="9" xfId="0" applyFont="1" applyBorder="1"/>
    <xf numFmtId="2" fontId="14" fillId="0" borderId="0" xfId="0" applyNumberFormat="1" applyFont="1"/>
    <xf numFmtId="2" fontId="3" fillId="0" borderId="3" xfId="0" applyNumberFormat="1" applyFont="1" applyBorder="1"/>
    <xf numFmtId="0" fontId="4" fillId="0" borderId="0" xfId="0" applyFont="1" applyAlignment="1">
      <alignment horizontal="left" indent="1"/>
    </xf>
    <xf numFmtId="2" fontId="3" fillId="0" borderId="0" xfId="0" applyNumberFormat="1" applyFont="1"/>
    <xf numFmtId="0" fontId="3" fillId="0" borderId="5" xfId="0" applyFont="1" applyBorder="1"/>
    <xf numFmtId="0" fontId="4" fillId="0" borderId="5" xfId="0" applyFont="1" applyBorder="1"/>
    <xf numFmtId="10" fontId="4" fillId="0" borderId="0" xfId="0" applyNumberFormat="1" applyFont="1"/>
    <xf numFmtId="10" fontId="4" fillId="0" borderId="5" xfId="1" applyNumberFormat="1" applyFont="1" applyBorder="1"/>
    <xf numFmtId="10" fontId="4" fillId="0" borderId="0" xfId="1" applyNumberFormat="1" applyFont="1" applyBorder="1"/>
    <xf numFmtId="10" fontId="4" fillId="0" borderId="5" xfId="0" applyNumberFormat="1" applyFont="1" applyBorder="1"/>
    <xf numFmtId="165" fontId="4" fillId="0" borderId="0" xfId="0" applyNumberFormat="1" applyFont="1"/>
    <xf numFmtId="1" fontId="4" fillId="0" borderId="5" xfId="0" applyNumberFormat="1" applyFont="1" applyBorder="1"/>
    <xf numFmtId="165" fontId="4" fillId="0" borderId="5" xfId="0" applyNumberFormat="1" applyFont="1" applyBorder="1"/>
    <xf numFmtId="2" fontId="4" fillId="0" borderId="5" xfId="0" applyNumberFormat="1" applyFont="1" applyBorder="1"/>
    <xf numFmtId="10" fontId="4" fillId="0" borderId="0" xfId="1" applyNumberFormat="1" applyFont="1" applyAlignment="1">
      <alignment horizontal="right"/>
    </xf>
    <xf numFmtId="0" fontId="4" fillId="0" borderId="6" xfId="0" applyFont="1" applyBorder="1"/>
    <xf numFmtId="2" fontId="3" fillId="0" borderId="1" xfId="0" applyNumberFormat="1" applyFont="1" applyBorder="1"/>
    <xf numFmtId="0" fontId="0" fillId="0" borderId="0" xfId="0" applyAlignment="1">
      <alignment vertical="center" wrapText="1"/>
    </xf>
    <xf numFmtId="0" fontId="16" fillId="0" borderId="0" xfId="0" applyFont="1" applyAlignment="1">
      <alignment horizontal="left" indent="2"/>
    </xf>
    <xf numFmtId="10" fontId="17" fillId="0" borderId="0" xfId="1" applyNumberFormat="1" applyFont="1" applyAlignment="1">
      <alignment horizontal="right"/>
    </xf>
    <xf numFmtId="164" fontId="18" fillId="0" borderId="0" xfId="0" applyNumberFormat="1" applyFont="1"/>
    <xf numFmtId="0" fontId="3" fillId="0" borderId="16" xfId="0" applyFont="1" applyBorder="1" applyAlignment="1">
      <alignment wrapText="1"/>
    </xf>
    <xf numFmtId="0" fontId="3" fillId="0" borderId="17" xfId="0" applyFont="1" applyBorder="1"/>
    <xf numFmtId="0" fontId="4" fillId="0" borderId="13" xfId="0" applyFont="1" applyBorder="1" applyAlignment="1">
      <alignment wrapText="1"/>
    </xf>
    <xf numFmtId="0" fontId="4" fillId="0" borderId="12" xfId="0" applyFont="1" applyBorder="1" applyAlignment="1">
      <alignment horizontal="left"/>
    </xf>
    <xf numFmtId="0" fontId="4" fillId="0" borderId="13" xfId="0" applyFont="1" applyBorder="1"/>
    <xf numFmtId="0" fontId="4" fillId="0" borderId="18" xfId="0" applyFont="1" applyBorder="1" applyAlignment="1">
      <alignment wrapText="1"/>
    </xf>
    <xf numFmtId="0" fontId="4" fillId="0" borderId="19" xfId="0" applyFont="1" applyBorder="1" applyAlignment="1">
      <alignment horizontal="left"/>
    </xf>
    <xf numFmtId="0" fontId="2" fillId="4" borderId="0" xfId="0" applyFont="1" applyFill="1"/>
    <xf numFmtId="0" fontId="3" fillId="5" borderId="0" xfId="0" applyFont="1" applyFill="1"/>
    <xf numFmtId="0" fontId="4" fillId="5" borderId="0" xfId="0" applyFont="1" applyFill="1"/>
    <xf numFmtId="0" fontId="11" fillId="4" borderId="7" xfId="0" applyFont="1" applyFill="1" applyBorder="1"/>
    <xf numFmtId="0" fontId="19" fillId="4" borderId="7" xfId="0" applyFont="1" applyFill="1" applyBorder="1"/>
    <xf numFmtId="0" fontId="2" fillId="4" borderId="0" xfId="0" applyFont="1" applyFill="1" applyAlignment="1">
      <alignment wrapText="1"/>
    </xf>
    <xf numFmtId="0" fontId="3" fillId="6" borderId="0" xfId="0" applyFont="1" applyFill="1"/>
    <xf numFmtId="0" fontId="4" fillId="6" borderId="0" xfId="0" applyFont="1" applyFill="1"/>
    <xf numFmtId="0" fontId="0" fillId="6" borderId="0" xfId="0" applyFill="1"/>
    <xf numFmtId="0" fontId="2" fillId="7" borderId="0" xfId="0" applyFont="1" applyFill="1"/>
    <xf numFmtId="0" fontId="2" fillId="7" borderId="0" xfId="0" applyFont="1" applyFill="1" applyAlignment="1">
      <alignment horizontal="right"/>
    </xf>
    <xf numFmtId="169" fontId="2" fillId="7" borderId="0" xfId="0" applyNumberFormat="1" applyFont="1" applyFill="1"/>
    <xf numFmtId="168" fontId="2" fillId="7" borderId="0" xfId="0" applyNumberFormat="1" applyFont="1" applyFill="1"/>
    <xf numFmtId="0" fontId="20" fillId="4" borderId="0" xfId="0" applyFont="1" applyFill="1"/>
    <xf numFmtId="0" fontId="13" fillId="4" borderId="0" xfId="0" applyFont="1" applyFill="1"/>
    <xf numFmtId="0" fontId="7" fillId="4" borderId="0" xfId="0" applyFont="1" applyFill="1"/>
    <xf numFmtId="2" fontId="6" fillId="0" borderId="11" xfId="0" applyNumberFormat="1" applyFont="1" applyBorder="1"/>
    <xf numFmtId="0" fontId="6" fillId="0" borderId="11" xfId="0" applyFont="1" applyBorder="1" applyAlignment="1">
      <alignment vertical="center" wrapText="1"/>
    </xf>
    <xf numFmtId="10" fontId="16" fillId="0" borderId="0" xfId="1" applyNumberFormat="1" applyFont="1" applyAlignment="1">
      <alignment horizontal="left" indent="2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horizontal="right" vertical="center" wrapText="1"/>
    </xf>
    <xf numFmtId="2" fontId="6" fillId="0" borderId="3" xfId="0" applyNumberFormat="1" applyFont="1" applyBorder="1"/>
    <xf numFmtId="0" fontId="6" fillId="0" borderId="1" xfId="0" applyFont="1" applyBorder="1"/>
    <xf numFmtId="2" fontId="6" fillId="0" borderId="1" xfId="0" applyNumberFormat="1" applyFont="1" applyBorder="1"/>
    <xf numFmtId="0" fontId="19" fillId="4" borderId="0" xfId="0" applyFont="1" applyFill="1"/>
    <xf numFmtId="0" fontId="3" fillId="0" borderId="11" xfId="0" applyFont="1" applyBorder="1"/>
    <xf numFmtId="2" fontId="3" fillId="0" borderId="11" xfId="0" applyNumberFormat="1" applyFont="1" applyBorder="1"/>
    <xf numFmtId="0" fontId="6" fillId="0" borderId="4" xfId="0" applyFont="1" applyBorder="1"/>
    <xf numFmtId="2" fontId="6" fillId="0" borderId="4" xfId="0" applyNumberFormat="1" applyFont="1" applyBorder="1"/>
    <xf numFmtId="0" fontId="21" fillId="0" borderId="0" xfId="0" applyFont="1"/>
    <xf numFmtId="0" fontId="19" fillId="4" borderId="2" xfId="0" applyFont="1" applyFill="1" applyBorder="1"/>
    <xf numFmtId="168" fontId="2" fillId="4" borderId="2" xfId="0" applyNumberFormat="1" applyFont="1" applyFill="1" applyBorder="1"/>
    <xf numFmtId="0" fontId="2" fillId="4" borderId="2" xfId="0" applyFont="1" applyFill="1" applyBorder="1"/>
    <xf numFmtId="0" fontId="4" fillId="0" borderId="0" xfId="0" applyFont="1" applyAlignment="1">
      <alignment vertical="center" wrapText="1"/>
    </xf>
    <xf numFmtId="10" fontId="4" fillId="0" borderId="0" xfId="0" applyNumberFormat="1" applyFont="1" applyAlignment="1">
      <alignment vertical="center" wrapText="1"/>
    </xf>
    <xf numFmtId="2" fontId="4" fillId="0" borderId="0" xfId="0" applyNumberFormat="1" applyFont="1" applyAlignment="1">
      <alignment vertical="center" wrapText="1"/>
    </xf>
    <xf numFmtId="2" fontId="4" fillId="0" borderId="0" xfId="0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9" fontId="4" fillId="0" borderId="0" xfId="0" applyNumberFormat="1" applyFont="1" applyAlignment="1">
      <alignment vertical="center" wrapText="1"/>
    </xf>
    <xf numFmtId="2" fontId="4" fillId="0" borderId="0" xfId="1" applyNumberFormat="1" applyFont="1"/>
    <xf numFmtId="0" fontId="3" fillId="0" borderId="0" xfId="0" applyFont="1" applyAlignment="1">
      <alignment vertical="center"/>
    </xf>
    <xf numFmtId="0" fontId="9" fillId="0" borderId="0" xfId="0" applyFont="1" applyAlignment="1">
      <alignment vertical="top" wrapText="1"/>
    </xf>
    <xf numFmtId="10" fontId="3" fillId="0" borderId="3" xfId="0" applyNumberFormat="1" applyFont="1" applyBorder="1"/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center" wrapText="1"/>
    </xf>
    <xf numFmtId="170" fontId="4" fillId="0" borderId="0" xfId="2" applyNumberFormat="1" applyFont="1"/>
    <xf numFmtId="0" fontId="3" fillId="0" borderId="0" xfId="0" applyFont="1" applyAlignment="1">
      <alignment horizontal="left" indent="1"/>
    </xf>
    <xf numFmtId="170" fontId="3" fillId="0" borderId="0" xfId="2" applyNumberFormat="1" applyFont="1"/>
    <xf numFmtId="0" fontId="3" fillId="0" borderId="0" xfId="0" applyFont="1" applyAlignment="1">
      <alignment horizont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170" fontId="4" fillId="0" borderId="0" xfId="2" applyNumberFormat="1" applyFont="1" applyBorder="1" applyAlignment="1">
      <alignment wrapText="1"/>
    </xf>
    <xf numFmtId="170" fontId="4" fillId="0" borderId="12" xfId="2" applyNumberFormat="1" applyFont="1" applyBorder="1" applyAlignment="1">
      <alignment wrapText="1"/>
    </xf>
    <xf numFmtId="170" fontId="4" fillId="0" borderId="0" xfId="2" applyNumberFormat="1" applyFont="1" applyBorder="1"/>
    <xf numFmtId="170" fontId="4" fillId="0" borderId="12" xfId="2" applyNumberFormat="1" applyFont="1" applyBorder="1"/>
    <xf numFmtId="170" fontId="4" fillId="0" borderId="13" xfId="2" applyNumberFormat="1" applyFont="1" applyBorder="1"/>
    <xf numFmtId="170" fontId="3" fillId="0" borderId="0" xfId="2" applyNumberFormat="1" applyFont="1" applyBorder="1" applyAlignment="1">
      <alignment wrapText="1"/>
    </xf>
    <xf numFmtId="170" fontId="3" fillId="0" borderId="12" xfId="2" applyNumberFormat="1" applyFont="1" applyBorder="1" applyAlignment="1">
      <alignment wrapText="1"/>
    </xf>
    <xf numFmtId="170" fontId="3" fillId="0" borderId="0" xfId="2" applyNumberFormat="1" applyFont="1" applyBorder="1"/>
    <xf numFmtId="170" fontId="3" fillId="0" borderId="12" xfId="2" applyNumberFormat="1" applyFont="1" applyBorder="1"/>
    <xf numFmtId="170" fontId="3" fillId="0" borderId="13" xfId="2" applyNumberFormat="1" applyFont="1" applyBorder="1"/>
    <xf numFmtId="171" fontId="4" fillId="0" borderId="0" xfId="0" applyNumberFormat="1" applyFont="1"/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16" fillId="0" borderId="0" xfId="0" applyFont="1" applyAlignment="1">
      <alignment horizontal="left" indent="1"/>
    </xf>
    <xf numFmtId="1" fontId="16" fillId="0" borderId="0" xfId="0" applyNumberFormat="1" applyFont="1"/>
    <xf numFmtId="0" fontId="6" fillId="0" borderId="11" xfId="0" applyFont="1" applyBorder="1"/>
    <xf numFmtId="172" fontId="4" fillId="0" borderId="0" xfId="0" applyNumberFormat="1" applyFont="1"/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15" fontId="2" fillId="4" borderId="0" xfId="0" applyNumberFormat="1" applyFont="1" applyFill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10" fontId="22" fillId="0" borderId="0" xfId="0" applyNumberFormat="1" applyFont="1" applyAlignment="1">
      <alignment horizontal="right" vertical="center"/>
    </xf>
    <xf numFmtId="10" fontId="23" fillId="0" borderId="0" xfId="0" applyNumberFormat="1" applyFont="1" applyAlignment="1">
      <alignment horizontal="right" vertical="center"/>
    </xf>
    <xf numFmtId="10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64" fontId="3" fillId="0" borderId="0" xfId="0" applyNumberFormat="1" applyFont="1"/>
    <xf numFmtId="164" fontId="10" fillId="0" borderId="0" xfId="0" applyNumberFormat="1" applyFont="1"/>
    <xf numFmtId="2" fontId="5" fillId="0" borderId="0" xfId="1" applyNumberFormat="1" applyFont="1" applyBorder="1"/>
    <xf numFmtId="2" fontId="5" fillId="0" borderId="0" xfId="1" applyNumberFormat="1" applyFont="1" applyBorder="1" applyAlignment="1"/>
    <xf numFmtId="0" fontId="3" fillId="0" borderId="0" xfId="0" applyFont="1" applyAlignment="1">
      <alignment vertical="top" wrapText="1"/>
    </xf>
    <xf numFmtId="17" fontId="2" fillId="7" borderId="0" xfId="0" applyNumberFormat="1" applyFont="1" applyFill="1" applyAlignment="1">
      <alignment horizontal="right"/>
    </xf>
    <xf numFmtId="0" fontId="24" fillId="0" borderId="0" xfId="0" applyFont="1"/>
    <xf numFmtId="0" fontId="12" fillId="0" borderId="0" xfId="0" applyFont="1"/>
    <xf numFmtId="2" fontId="6" fillId="0" borderId="0" xfId="0" applyNumberFormat="1" applyFont="1"/>
    <xf numFmtId="38" fontId="4" fillId="8" borderId="0" xfId="0" applyNumberFormat="1" applyFont="1" applyFill="1"/>
    <xf numFmtId="2" fontId="25" fillId="0" borderId="0" xfId="1" applyNumberFormat="1" applyFont="1" applyBorder="1"/>
    <xf numFmtId="2" fontId="3" fillId="0" borderId="4" xfId="0" applyNumberFormat="1" applyFont="1" applyBorder="1"/>
    <xf numFmtId="0" fontId="15" fillId="0" borderId="0" xfId="0" applyFont="1"/>
    <xf numFmtId="0" fontId="9" fillId="0" borderId="0" xfId="0" applyFont="1" applyAlignment="1">
      <alignment horizontal="left" indent="1"/>
    </xf>
    <xf numFmtId="0" fontId="15" fillId="0" borderId="4" xfId="0" applyFont="1" applyBorder="1" applyAlignment="1">
      <alignment horizontal="left" indent="1"/>
    </xf>
    <xf numFmtId="2" fontId="15" fillId="0" borderId="0" xfId="0" applyNumberFormat="1" applyFont="1"/>
    <xf numFmtId="2" fontId="15" fillId="0" borderId="4" xfId="0" applyNumberFormat="1" applyFont="1" applyBorder="1"/>
    <xf numFmtId="2" fontId="9" fillId="0" borderId="0" xfId="0" applyNumberFormat="1" applyFont="1"/>
    <xf numFmtId="2" fontId="26" fillId="0" borderId="0" xfId="0" applyNumberFormat="1" applyFont="1"/>
    <xf numFmtId="0" fontId="3" fillId="0" borderId="4" xfId="0" applyFont="1" applyBorder="1" applyAlignment="1">
      <alignment horizontal="left" indent="1"/>
    </xf>
    <xf numFmtId="0" fontId="3" fillId="9" borderId="0" xfId="0" applyFont="1" applyFill="1"/>
    <xf numFmtId="0" fontId="4" fillId="0" borderId="4" xfId="0" applyFont="1" applyBorder="1"/>
    <xf numFmtId="0" fontId="4" fillId="0" borderId="2" xfId="0" applyFont="1" applyBorder="1"/>
    <xf numFmtId="2" fontId="4" fillId="0" borderId="2" xfId="0" applyNumberFormat="1" applyFont="1" applyBorder="1"/>
    <xf numFmtId="0" fontId="27" fillId="0" borderId="0" xfId="0" applyFont="1" applyAlignment="1">
      <alignment horizontal="left" indent="1"/>
    </xf>
    <xf numFmtId="10" fontId="28" fillId="0" borderId="0" xfId="1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19" fillId="0" borderId="0" xfId="0" applyFont="1"/>
    <xf numFmtId="0" fontId="4" fillId="10" borderId="0" xfId="0" applyFont="1" applyFill="1"/>
    <xf numFmtId="0" fontId="4" fillId="0" borderId="0" xfId="0" applyFont="1" applyAlignment="1">
      <alignment horizontal="center"/>
    </xf>
    <xf numFmtId="38" fontId="3" fillId="8" borderId="0" xfId="0" applyNumberFormat="1" applyFont="1" applyFill="1"/>
    <xf numFmtId="0" fontId="0" fillId="0" borderId="0" xfId="0" applyAlignment="1">
      <alignment horizontal="left" indent="1"/>
    </xf>
    <xf numFmtId="0" fontId="3" fillId="0" borderId="9" xfId="0" applyFont="1" applyBorder="1"/>
    <xf numFmtId="2" fontId="4" fillId="0" borderId="0" xfId="0" applyNumberFormat="1" applyFont="1" applyAlignment="1">
      <alignment horizontal="right"/>
    </xf>
    <xf numFmtId="10" fontId="3" fillId="0" borderId="9" xfId="0" applyNumberFormat="1" applyFont="1" applyBorder="1"/>
    <xf numFmtId="14" fontId="4" fillId="0" borderId="0" xfId="0" applyNumberFormat="1" applyFont="1" applyAlignment="1">
      <alignment horizontal="left"/>
    </xf>
    <xf numFmtId="4" fontId="4" fillId="0" borderId="0" xfId="0" applyNumberFormat="1" applyFont="1"/>
    <xf numFmtId="0" fontId="4" fillId="2" borderId="0" xfId="0" applyFont="1" applyFill="1"/>
    <xf numFmtId="2" fontId="4" fillId="2" borderId="0" xfId="0" applyNumberFormat="1" applyFont="1" applyFill="1"/>
    <xf numFmtId="0" fontId="29" fillId="0" borderId="10" xfId="0" applyFont="1" applyBorder="1" applyAlignment="1">
      <alignment horizontal="centerContinuous"/>
    </xf>
    <xf numFmtId="166" fontId="4" fillId="0" borderId="0" xfId="0" applyNumberFormat="1" applyFont="1"/>
    <xf numFmtId="0" fontId="4" fillId="0" borderId="7" xfId="0" applyFont="1" applyBorder="1"/>
    <xf numFmtId="0" fontId="29" fillId="0" borderId="10" xfId="0" applyFont="1" applyBorder="1" applyAlignment="1">
      <alignment horizontal="center"/>
    </xf>
    <xf numFmtId="166" fontId="4" fillId="0" borderId="7" xfId="0" applyNumberFormat="1" applyFont="1" applyBorder="1"/>
    <xf numFmtId="0" fontId="2" fillId="7" borderId="2" xfId="0" applyFont="1" applyFill="1" applyBorder="1"/>
    <xf numFmtId="0" fontId="19" fillId="7" borderId="2" xfId="0" applyFont="1" applyFill="1" applyBorder="1"/>
    <xf numFmtId="0" fontId="9" fillId="7" borderId="2" xfId="0" applyFont="1" applyFill="1" applyBorder="1"/>
    <xf numFmtId="0" fontId="15" fillId="11" borderId="2" xfId="0" applyFont="1" applyFill="1" applyBorder="1"/>
    <xf numFmtId="0" fontId="9" fillId="11" borderId="2" xfId="0" applyFont="1" applyFill="1" applyBorder="1"/>
    <xf numFmtId="10" fontId="9" fillId="0" borderId="0" xfId="0" applyNumberFormat="1" applyFont="1" applyAlignment="1">
      <alignment horizontal="right"/>
    </xf>
    <xf numFmtId="10" fontId="9" fillId="0" borderId="0" xfId="1" applyNumberFormat="1" applyFont="1" applyFill="1"/>
    <xf numFmtId="10" fontId="9" fillId="0" borderId="0" xfId="0" applyNumberFormat="1" applyFont="1"/>
    <xf numFmtId="10" fontId="15" fillId="0" borderId="9" xfId="1" applyNumberFormat="1" applyFont="1" applyFill="1" applyBorder="1"/>
    <xf numFmtId="0" fontId="15" fillId="0" borderId="2" xfId="0" applyFont="1" applyBorder="1" applyAlignment="1">
      <alignment horizontal="right"/>
    </xf>
    <xf numFmtId="10" fontId="9" fillId="0" borderId="0" xfId="1" applyNumberFormat="1" applyFont="1" applyFill="1" applyBorder="1"/>
    <xf numFmtId="167" fontId="9" fillId="0" borderId="0" xfId="0" applyNumberFormat="1" applyFont="1"/>
    <xf numFmtId="167" fontId="9" fillId="0" borderId="9" xfId="0" applyNumberFormat="1" applyFont="1" applyBorder="1"/>
    <xf numFmtId="10" fontId="9" fillId="0" borderId="9" xfId="1" applyNumberFormat="1" applyFont="1" applyFill="1" applyBorder="1"/>
    <xf numFmtId="0" fontId="15" fillId="0" borderId="11" xfId="0" applyFont="1" applyBorder="1"/>
    <xf numFmtId="10" fontId="15" fillId="0" borderId="11" xfId="0" applyNumberFormat="1" applyFont="1" applyBorder="1"/>
    <xf numFmtId="0" fontId="15" fillId="0" borderId="3" xfId="0" applyFont="1" applyBorder="1"/>
    <xf numFmtId="10" fontId="15" fillId="0" borderId="3" xfId="0" applyNumberFormat="1" applyFont="1" applyBorder="1"/>
    <xf numFmtId="10" fontId="0" fillId="0" borderId="20" xfId="0" applyNumberFormat="1" applyBorder="1"/>
    <xf numFmtId="10" fontId="6" fillId="0" borderId="0" xfId="1" applyNumberFormat="1" applyFont="1"/>
    <xf numFmtId="2" fontId="30" fillId="0" borderId="0" xfId="0" applyNumberFormat="1" applyFont="1"/>
    <xf numFmtId="164" fontId="10" fillId="0" borderId="0" xfId="0" applyNumberFormat="1" applyFont="1" applyAlignment="1">
      <alignment horizontal="right"/>
    </xf>
    <xf numFmtId="164" fontId="31" fillId="0" borderId="0" xfId="0" applyNumberFormat="1" applyFont="1"/>
    <xf numFmtId="39" fontId="31" fillId="0" borderId="0" xfId="0" applyNumberFormat="1" applyFont="1"/>
    <xf numFmtId="2" fontId="10" fillId="0" borderId="0" xfId="0" applyNumberFormat="1" applyFont="1"/>
    <xf numFmtId="10" fontId="1" fillId="0" borderId="0" xfId="1" applyNumberFormat="1" applyFont="1"/>
    <xf numFmtId="2" fontId="7" fillId="0" borderId="0" xfId="0" applyNumberFormat="1" applyFont="1"/>
    <xf numFmtId="2" fontId="0" fillId="0" borderId="13" xfId="0" applyNumberFormat="1" applyBorder="1"/>
    <xf numFmtId="2" fontId="0" fillId="0" borderId="16" xfId="0" applyNumberFormat="1" applyBorder="1"/>
    <xf numFmtId="2" fontId="0" fillId="0" borderId="4" xfId="0" applyNumberFormat="1" applyBorder="1"/>
    <xf numFmtId="2" fontId="34" fillId="6" borderId="0" xfId="0" applyNumberFormat="1" applyFont="1" applyFill="1"/>
    <xf numFmtId="10" fontId="34" fillId="0" borderId="0" xfId="1" applyNumberFormat="1" applyFont="1"/>
    <xf numFmtId="0" fontId="0" fillId="0" borderId="0" xfId="0" applyAlignment="1">
      <alignment vertical="center"/>
    </xf>
    <xf numFmtId="0" fontId="0" fillId="7" borderId="0" xfId="0" applyFill="1"/>
    <xf numFmtId="17" fontId="2" fillId="7" borderId="0" xfId="0" applyNumberFormat="1" applyFont="1" applyFill="1" applyAlignment="1">
      <alignment horizontal="center"/>
    </xf>
    <xf numFmtId="0" fontId="4" fillId="0" borderId="0" xfId="0" applyFont="1" applyAlignment="1">
      <alignment horizontal="left" vertical="top" wrapText="1"/>
    </xf>
    <xf numFmtId="0" fontId="20" fillId="4" borderId="0" xfId="0" applyFont="1" applyFill="1" applyAlignment="1">
      <alignment horizontal="center"/>
    </xf>
    <xf numFmtId="0" fontId="32" fillId="7" borderId="0" xfId="0" applyFont="1" applyFill="1" applyAlignment="1">
      <alignment horizontal="center" textRotation="90"/>
    </xf>
    <xf numFmtId="0" fontId="33" fillId="4" borderId="0" xfId="0" applyFont="1" applyFill="1" applyAlignment="1">
      <alignment horizontal="center"/>
    </xf>
    <xf numFmtId="0" fontId="32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19" fillId="0" borderId="0" xfId="0" applyFont="1" applyFill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9999"/>
      <color rgb="FF80CAB5"/>
      <color rgb="FF68C0A7"/>
      <color rgb="FF6E2C2C"/>
      <color rgb="FFB05C60"/>
      <color rgb="FF00E7E2"/>
      <color rgb="FF008080"/>
      <color rgb="FF800000"/>
      <color rgb="FF66FF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>
                <a:effectLst/>
              </a:rPr>
              <a:t>Profitability Margins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'Income Statement'!$B$11</c:f>
              <c:strCache>
                <c:ptCount val="1"/>
                <c:pt idx="0">
                  <c:v>Gross Margin %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'Income Statement'!$C$3:$Q$3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'Income Statement'!$C$11:$Q$11</c:f>
              <c:numCache>
                <c:formatCode>0.00%</c:formatCode>
                <c:ptCount val="15"/>
                <c:pt idx="0">
                  <c:v>0.3779051368498697</c:v>
                </c:pt>
                <c:pt idx="1">
                  <c:v>0.32485690064018929</c:v>
                </c:pt>
                <c:pt idx="2">
                  <c:v>0.35181396694383799</c:v>
                </c:pt>
                <c:pt idx="3">
                  <c:v>0.38135630922395714</c:v>
                </c:pt>
                <c:pt idx="4">
                  <c:v>0.36049004241854005</c:v>
                </c:pt>
                <c:pt idx="5">
                  <c:v>0.36000000000000004</c:v>
                </c:pt>
                <c:pt idx="6">
                  <c:v>0.35999999999999993</c:v>
                </c:pt>
                <c:pt idx="7">
                  <c:v>0.37</c:v>
                </c:pt>
                <c:pt idx="8">
                  <c:v>0.37</c:v>
                </c:pt>
                <c:pt idx="9">
                  <c:v>0.37000000000000005</c:v>
                </c:pt>
                <c:pt idx="10">
                  <c:v>0.38000000000000006</c:v>
                </c:pt>
                <c:pt idx="11">
                  <c:v>0.38</c:v>
                </c:pt>
                <c:pt idx="12">
                  <c:v>0.4</c:v>
                </c:pt>
                <c:pt idx="13">
                  <c:v>0.40000000000000008</c:v>
                </c:pt>
                <c:pt idx="14">
                  <c:v>0.39999999999999997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C3-4777-A00F-C0A966503CE1}"/>
            </c:ext>
          </c:extLst>
        </c:ser>
        <c:ser>
          <c:idx val="1"/>
          <c:order val="1"/>
          <c:tx>
            <c:strRef>
              <c:f>'Income Statement'!$B$24</c:f>
              <c:strCache>
                <c:ptCount val="1"/>
                <c:pt idx="0">
                  <c:v>EBIT Margin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'Income Statement'!$C$3:$Q$3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'Income Statement'!$C$24:$Q$24</c:f>
              <c:numCache>
                <c:formatCode>0.00%</c:formatCode>
                <c:ptCount val="15"/>
                <c:pt idx="0">
                  <c:v>0.27655960634921389</c:v>
                </c:pt>
                <c:pt idx="1">
                  <c:v>0.21241404293178551</c:v>
                </c:pt>
                <c:pt idx="2">
                  <c:v>0.23455615307631414</c:v>
                </c:pt>
                <c:pt idx="3">
                  <c:v>0.25022280236619826</c:v>
                </c:pt>
                <c:pt idx="4">
                  <c:v>0.20927373152505391</c:v>
                </c:pt>
                <c:pt idx="5">
                  <c:v>0.24</c:v>
                </c:pt>
                <c:pt idx="6">
                  <c:v>0.23750737987200787</c:v>
                </c:pt>
                <c:pt idx="7">
                  <c:v>0.25600000000000001</c:v>
                </c:pt>
                <c:pt idx="8">
                  <c:v>0.25799999999999995</c:v>
                </c:pt>
                <c:pt idx="9">
                  <c:v>0.26</c:v>
                </c:pt>
                <c:pt idx="10">
                  <c:v>0.28000000000000003</c:v>
                </c:pt>
                <c:pt idx="11">
                  <c:v>0.27999999999999997</c:v>
                </c:pt>
                <c:pt idx="12">
                  <c:v>0.3</c:v>
                </c:pt>
                <c:pt idx="13">
                  <c:v>0.30000000000000004</c:v>
                </c:pt>
                <c:pt idx="14">
                  <c:v>0.29999999999999993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C3-4777-A00F-C0A966503CE1}"/>
            </c:ext>
          </c:extLst>
        </c:ser>
        <c:ser>
          <c:idx val="2"/>
          <c:order val="2"/>
          <c:tx>
            <c:strRef>
              <c:f>'Income Statement'!$B$36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'Income Statement'!$C$3:$Q$3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'Income Statement'!$C$36:$Q$36</c:f>
              <c:numCache>
                <c:formatCode>0.00%</c:formatCode>
                <c:ptCount val="15"/>
                <c:pt idx="0">
                  <c:v>0.23433957249392229</c:v>
                </c:pt>
                <c:pt idx="1">
                  <c:v>0.14894588804678693</c:v>
                </c:pt>
                <c:pt idx="2">
                  <c:v>0.11791887189605228</c:v>
                </c:pt>
                <c:pt idx="3">
                  <c:v>0.18057831241202379</c:v>
                </c:pt>
                <c:pt idx="4">
                  <c:v>0.14636822928384674</c:v>
                </c:pt>
                <c:pt idx="5">
                  <c:v>0.1765061393388126</c:v>
                </c:pt>
                <c:pt idx="6">
                  <c:v>0.17938041712006897</c:v>
                </c:pt>
                <c:pt idx="7">
                  <c:v>0.19780374250822932</c:v>
                </c:pt>
                <c:pt idx="8">
                  <c:v>0.18832926416081464</c:v>
                </c:pt>
                <c:pt idx="9">
                  <c:v>0.19194539307534625</c:v>
                </c:pt>
                <c:pt idx="10">
                  <c:v>0.21172817839292543</c:v>
                </c:pt>
                <c:pt idx="11">
                  <c:v>0.17759013411862221</c:v>
                </c:pt>
                <c:pt idx="12">
                  <c:v>0.19385415905691955</c:v>
                </c:pt>
                <c:pt idx="13">
                  <c:v>0.19551096125826281</c:v>
                </c:pt>
                <c:pt idx="14">
                  <c:v>0.19707044583231453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C3-4777-A00F-C0A966503CE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893887"/>
        <c:axId val="11886687"/>
      </c:barChart>
      <c:catAx>
        <c:axId val="11893887"/>
        <c:scaling>
          <c:orientation val="minMax"/>
        </c:scaling>
        <c:delete val="0"/>
        <c:axPos val="b"/>
        <c:numFmt formatCode="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6687"/>
        <c:crosses val="autoZero"/>
        <c:auto val="1"/>
        <c:lblAlgn val="ctr"/>
        <c:lblOffset val="100"/>
        <c:noMultiLvlLbl val="0"/>
      </c:catAx>
      <c:valAx>
        <c:axId val="11886687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Walton Revenue by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'Revenue Forecast'!$B$5</c:f>
              <c:strCache>
                <c:ptCount val="1"/>
                <c:pt idx="0">
                  <c:v>Freezer, Refrigerator &amp; Compressor</c:v>
                </c:pt>
              </c:strCache>
            </c:strRef>
          </c:tx>
          <c:spPr>
            <a:solidFill>
              <a:schemeClr val="accent4">
                <a:shade val="41000"/>
              </a:schemeClr>
            </a:solidFill>
            <a:ln>
              <a:noFill/>
            </a:ln>
            <a:effectLst/>
          </c:spPr>
          <c:cat>
            <c:numRef>
              <c:f>'Revenue Forecast'!$C$3:$Q$3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'Revenue Forecast'!$C$5:$Q$5</c:f>
              <c:numCache>
                <c:formatCode>0.00</c:formatCode>
                <c:ptCount val="15"/>
                <c:pt idx="0">
                  <c:v>5216.6796347</c:v>
                </c:pt>
                <c:pt idx="1">
                  <c:v>5818.2457561000001</c:v>
                </c:pt>
                <c:pt idx="2">
                  <c:v>4454.7964112</c:v>
                </c:pt>
                <c:pt idx="3">
                  <c:v>4658.8327803000002</c:v>
                </c:pt>
                <c:pt idx="4">
                  <c:v>4759.5797430000002</c:v>
                </c:pt>
                <c:pt idx="5">
                  <c:v>4902.3671352900001</c:v>
                </c:pt>
                <c:pt idx="6">
                  <c:v>5049.4381493486999</c:v>
                </c:pt>
                <c:pt idx="7">
                  <c:v>5200.9212938291612</c:v>
                </c:pt>
                <c:pt idx="8">
                  <c:v>5356.9489326440362</c:v>
                </c:pt>
                <c:pt idx="9">
                  <c:v>5517.6574006233577</c:v>
                </c:pt>
                <c:pt idx="10">
                  <c:v>5655.5988356389407</c:v>
                </c:pt>
                <c:pt idx="11">
                  <c:v>5796.9888065299137</c:v>
                </c:pt>
                <c:pt idx="12">
                  <c:v>5941.9135266931607</c:v>
                </c:pt>
                <c:pt idx="13">
                  <c:v>6060.7517972270243</c:v>
                </c:pt>
                <c:pt idx="14">
                  <c:v>6181.9668331715648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92-49B2-8E08-00D19F57AC6A}"/>
            </c:ext>
          </c:extLst>
        </c:ser>
        <c:ser>
          <c:idx val="1"/>
          <c:order val="1"/>
          <c:tx>
            <c:strRef>
              <c:f>'Revenue Forecast'!$B$7</c:f>
              <c:strCache>
                <c:ptCount val="1"/>
                <c:pt idx="0">
                  <c:v>Air Conditioner</c:v>
                </c:pt>
              </c:strCache>
            </c:strRef>
          </c:tx>
          <c:spPr>
            <a:solidFill>
              <a:schemeClr val="accent4">
                <a:shade val="53000"/>
              </a:schemeClr>
            </a:solidFill>
            <a:ln>
              <a:noFill/>
            </a:ln>
            <a:effectLst/>
          </c:spPr>
          <c:cat>
            <c:numRef>
              <c:f>'Revenue Forecast'!$C$3:$Q$3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'Revenue Forecast'!$C$7:$Q$7</c:f>
              <c:numCache>
                <c:formatCode>0.00</c:formatCode>
                <c:ptCount val="15"/>
                <c:pt idx="0">
                  <c:v>366.38746650000002</c:v>
                </c:pt>
                <c:pt idx="1">
                  <c:v>446.14400310000002</c:v>
                </c:pt>
                <c:pt idx="2">
                  <c:v>620.02495810000005</c:v>
                </c:pt>
                <c:pt idx="3">
                  <c:v>965.08732689999999</c:v>
                </c:pt>
                <c:pt idx="4">
                  <c:v>660.40190680000001</c:v>
                </c:pt>
                <c:pt idx="5">
                  <c:v>713.234059344</c:v>
                </c:pt>
                <c:pt idx="6">
                  <c:v>763.1604434980801</c:v>
                </c:pt>
                <c:pt idx="7">
                  <c:v>808.95007010796496</c:v>
                </c:pt>
                <c:pt idx="8">
                  <c:v>857.48707431444291</c:v>
                </c:pt>
                <c:pt idx="9">
                  <c:v>908.93629877330955</c:v>
                </c:pt>
                <c:pt idx="10">
                  <c:v>958.92779520584156</c:v>
                </c:pt>
                <c:pt idx="11">
                  <c:v>1006.8741849661337</c:v>
                </c:pt>
                <c:pt idx="12">
                  <c:v>1057.2178942144405</c:v>
                </c:pt>
                <c:pt idx="13">
                  <c:v>1099.5066099830183</c:v>
                </c:pt>
                <c:pt idx="14">
                  <c:v>1143.486874382339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92-49B2-8E08-00D19F57AC6A}"/>
            </c:ext>
          </c:extLst>
        </c:ser>
        <c:ser>
          <c:idx val="2"/>
          <c:order val="2"/>
          <c:tx>
            <c:strRef>
              <c:f>'Revenue Forecast'!$B$9</c:f>
              <c:strCache>
                <c:ptCount val="1"/>
                <c:pt idx="0">
                  <c:v>Television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cat>
            <c:numRef>
              <c:f>'Revenue Forecast'!$C$3:$Q$3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'Revenue Forecast'!$C$9:$Q$9</c:f>
              <c:numCache>
                <c:formatCode>0.00</c:formatCode>
                <c:ptCount val="15"/>
                <c:pt idx="0">
                  <c:v>827.78093469999999</c:v>
                </c:pt>
                <c:pt idx="1">
                  <c:v>922.4628606</c:v>
                </c:pt>
                <c:pt idx="2">
                  <c:v>610.69962640000006</c:v>
                </c:pt>
                <c:pt idx="3">
                  <c:v>523.34811079999997</c:v>
                </c:pt>
                <c:pt idx="4">
                  <c:v>411.47071469999997</c:v>
                </c:pt>
                <c:pt idx="5">
                  <c:v>421.75748256749995</c:v>
                </c:pt>
                <c:pt idx="6">
                  <c:v>430.19263221884995</c:v>
                </c:pt>
                <c:pt idx="7">
                  <c:v>436.64552170213267</c:v>
                </c:pt>
                <c:pt idx="8">
                  <c:v>443.1952045276646</c:v>
                </c:pt>
                <c:pt idx="9">
                  <c:v>449.8431325955795</c:v>
                </c:pt>
                <c:pt idx="10">
                  <c:v>454.34156392153528</c:v>
                </c:pt>
                <c:pt idx="11">
                  <c:v>458.88497956075065</c:v>
                </c:pt>
                <c:pt idx="12">
                  <c:v>463.47382935635818</c:v>
                </c:pt>
                <c:pt idx="13">
                  <c:v>468.10856764992178</c:v>
                </c:pt>
                <c:pt idx="14">
                  <c:v>472.78965332642099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92-49B2-8E08-00D19F57AC6A}"/>
            </c:ext>
          </c:extLst>
        </c:ser>
        <c:ser>
          <c:idx val="3"/>
          <c:order val="3"/>
          <c:tx>
            <c:strRef>
              <c:f>'Revenue Forecast'!$B$11</c:f>
              <c:strCache>
                <c:ptCount val="1"/>
                <c:pt idx="0">
                  <c:v>Electrical Appliances (EAP)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cat>
            <c:numRef>
              <c:f>'Revenue Forecast'!$C$3:$Q$3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'Revenue Forecast'!$C$11:$Q$11</c:f>
              <c:numCache>
                <c:formatCode>0.00</c:formatCode>
                <c:ptCount val="15"/>
                <c:pt idx="0">
                  <c:v>465.98170900000002</c:v>
                </c:pt>
                <c:pt idx="1">
                  <c:v>701.83689030000005</c:v>
                </c:pt>
                <c:pt idx="2">
                  <c:v>928.06173639999997</c:v>
                </c:pt>
                <c:pt idx="3">
                  <c:v>1257.9783534000001</c:v>
                </c:pt>
                <c:pt idx="4">
                  <c:v>1016.862752</c:v>
                </c:pt>
                <c:pt idx="5">
                  <c:v>1118.5490272000002</c:v>
                </c:pt>
                <c:pt idx="6">
                  <c:v>1208.0329493760003</c:v>
                </c:pt>
                <c:pt idx="7">
                  <c:v>1292.5952558323204</c:v>
                </c:pt>
                <c:pt idx="8">
                  <c:v>1370.1509711822596</c:v>
                </c:pt>
                <c:pt idx="9">
                  <c:v>1438.6585197413726</c:v>
                </c:pt>
                <c:pt idx="10">
                  <c:v>1510.5914457284414</c:v>
                </c:pt>
                <c:pt idx="11">
                  <c:v>1586.1210180148635</c:v>
                </c:pt>
                <c:pt idx="12">
                  <c:v>1665.4270689156067</c:v>
                </c:pt>
                <c:pt idx="13">
                  <c:v>1748.6984223613872</c:v>
                </c:pt>
                <c:pt idx="14">
                  <c:v>1836.1333434794567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92-49B2-8E08-00D19F57AC6A}"/>
            </c:ext>
          </c:extLst>
        </c:ser>
        <c:ser>
          <c:idx val="4"/>
          <c:order val="4"/>
          <c:tx>
            <c:strRef>
              <c:f>'Revenue Forecast'!$B$13</c:f>
              <c:strCache>
                <c:ptCount val="1"/>
                <c:pt idx="0">
                  <c:v>Home Appliances (HAP)</c:v>
                </c:pt>
              </c:strCache>
            </c:strRef>
          </c:tx>
          <c:spPr>
            <a:solidFill>
              <a:schemeClr val="accent4">
                <a:shade val="88000"/>
              </a:schemeClr>
            </a:solidFill>
            <a:ln>
              <a:noFill/>
            </a:ln>
            <a:effectLst/>
          </c:spPr>
          <c:cat>
            <c:numRef>
              <c:f>'Revenue Forecast'!$C$3:$Q$3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'Revenue Forecast'!$C$13:$Q$13</c:f>
              <c:numCache>
                <c:formatCode>0.00</c:formatCode>
                <c:ptCount val="15"/>
                <c:pt idx="0">
                  <c:v>319.66409650000003</c:v>
                </c:pt>
                <c:pt idx="1">
                  <c:v>491.07980400000002</c:v>
                </c:pt>
                <c:pt idx="2">
                  <c:v>351.64985030000003</c:v>
                </c:pt>
                <c:pt idx="3">
                  <c:v>433.55145049999999</c:v>
                </c:pt>
                <c:pt idx="4">
                  <c:v>462.02502010000001</c:v>
                </c:pt>
                <c:pt idx="5">
                  <c:v>508.22752211000005</c:v>
                </c:pt>
                <c:pt idx="6">
                  <c:v>553.96799909990011</c:v>
                </c:pt>
                <c:pt idx="7">
                  <c:v>598.28543902789215</c:v>
                </c:pt>
                <c:pt idx="8">
                  <c:v>640.16541975984467</c:v>
                </c:pt>
                <c:pt idx="9">
                  <c:v>678.5753449454354</c:v>
                </c:pt>
                <c:pt idx="10">
                  <c:v>712.50411219270723</c:v>
                </c:pt>
                <c:pt idx="11">
                  <c:v>741.0042766804155</c:v>
                </c:pt>
                <c:pt idx="12">
                  <c:v>770.64444774763217</c:v>
                </c:pt>
                <c:pt idx="13">
                  <c:v>801.47022565753753</c:v>
                </c:pt>
                <c:pt idx="14">
                  <c:v>833.52903468383909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92-49B2-8E08-00D19F57AC6A}"/>
            </c:ext>
          </c:extLst>
        </c:ser>
        <c:ser>
          <c:idx val="5"/>
          <c:order val="5"/>
          <c:tx>
            <c:strRef>
              <c:f>'Revenue Forecast'!$B$15</c:f>
              <c:strCache>
                <c:ptCount val="1"/>
                <c:pt idx="0">
                  <c:v>Elevator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'Revenue Forecast'!$C$3:$Q$3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'Revenue Forecast'!$C$15:$Q$15</c:f>
              <c:numCache>
                <c:formatCode>0.00</c:formatCode>
                <c:ptCount val="15"/>
                <c:pt idx="1">
                  <c:v>53.907451100000003</c:v>
                </c:pt>
                <c:pt idx="2">
                  <c:v>104.11405190000001</c:v>
                </c:pt>
                <c:pt idx="3">
                  <c:v>108.6591865</c:v>
                </c:pt>
                <c:pt idx="4">
                  <c:v>161.07881180000001</c:v>
                </c:pt>
                <c:pt idx="5">
                  <c:v>185.24063357</c:v>
                </c:pt>
                <c:pt idx="6">
                  <c:v>211.17432226980003</c:v>
                </c:pt>
                <c:pt idx="7">
                  <c:v>236.51524094217606</c:v>
                </c:pt>
                <c:pt idx="8">
                  <c:v>260.16676503639371</c:v>
                </c:pt>
                <c:pt idx="9">
                  <c:v>283.58177388966919</c:v>
                </c:pt>
                <c:pt idx="10">
                  <c:v>306.26831580084274</c:v>
                </c:pt>
                <c:pt idx="11">
                  <c:v>327.70709790690177</c:v>
                </c:pt>
                <c:pt idx="12">
                  <c:v>347.36952378131588</c:v>
                </c:pt>
                <c:pt idx="13">
                  <c:v>364.73799997038168</c:v>
                </c:pt>
                <c:pt idx="14">
                  <c:v>379.32751996919694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92-49B2-8E08-00D19F57AC6A}"/>
            </c:ext>
          </c:extLst>
        </c:ser>
        <c:ser>
          <c:idx val="6"/>
          <c:order val="6"/>
          <c:tx>
            <c:strRef>
              <c:f>'Revenue Forecast'!$B$17</c:f>
              <c:strCache>
                <c:ptCount val="1"/>
                <c:pt idx="0">
                  <c:v>Cable</c:v>
                </c:pt>
              </c:strCache>
            </c:strRef>
          </c:tx>
          <c:spPr>
            <a:solidFill>
              <a:schemeClr val="accent4">
                <a:tint val="89000"/>
              </a:schemeClr>
            </a:solidFill>
            <a:ln>
              <a:noFill/>
            </a:ln>
            <a:effectLst/>
          </c:spPr>
          <c:cat>
            <c:numRef>
              <c:f>'Revenue Forecast'!$C$3:$Q$3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'Revenue Forecast'!$C$17:$Q$17</c:f>
              <c:numCache>
                <c:formatCode>0.00</c:formatCode>
                <c:ptCount val="15"/>
                <c:pt idx="4">
                  <c:v>134.1605715</c:v>
                </c:pt>
                <c:pt idx="5">
                  <c:v>150.25984008000003</c:v>
                </c:pt>
                <c:pt idx="6">
                  <c:v>165.28582408800006</c:v>
                </c:pt>
                <c:pt idx="7">
                  <c:v>178.50869001504006</c:v>
                </c:pt>
                <c:pt idx="8">
                  <c:v>191.00429831609287</c:v>
                </c:pt>
                <c:pt idx="9">
                  <c:v>202.46455621505845</c:v>
                </c:pt>
                <c:pt idx="10">
                  <c:v>212.58778402581137</c:v>
                </c:pt>
                <c:pt idx="11">
                  <c:v>223.21717322710194</c:v>
                </c:pt>
                <c:pt idx="12">
                  <c:v>234.37803188845703</c:v>
                </c:pt>
                <c:pt idx="13">
                  <c:v>246.0969334828799</c:v>
                </c:pt>
                <c:pt idx="14">
                  <c:v>258.40178015702389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92-49B2-8E08-00D19F57AC6A}"/>
            </c:ext>
          </c:extLst>
        </c:ser>
        <c:ser>
          <c:idx val="7"/>
          <c:order val="7"/>
          <c:tx>
            <c:strRef>
              <c:f>'Revenue Forecast'!$B$19</c:f>
              <c:strCache>
                <c:ptCount val="1"/>
                <c:pt idx="0">
                  <c:v>Service Parts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cat>
            <c:numRef>
              <c:f>'Revenue Forecast'!$C$3:$Q$3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'Revenue Forecast'!$C$19:$Q$19</c:f>
              <c:numCache>
                <c:formatCode>0.00</c:formatCode>
                <c:ptCount val="15"/>
                <c:pt idx="2">
                  <c:v>3.6709551</c:v>
                </c:pt>
                <c:pt idx="3">
                  <c:v>27.632899399999999</c:v>
                </c:pt>
                <c:pt idx="4">
                  <c:v>61.913860700000001</c:v>
                </c:pt>
                <c:pt idx="5">
                  <c:v>73.058355625999994</c:v>
                </c:pt>
                <c:pt idx="6">
                  <c:v>84.74769252615998</c:v>
                </c:pt>
                <c:pt idx="7">
                  <c:v>96.612369479822391</c:v>
                </c:pt>
                <c:pt idx="8">
                  <c:v>108.20585381740109</c:v>
                </c:pt>
                <c:pt idx="9">
                  <c:v>119.02643919914121</c:v>
                </c:pt>
                <c:pt idx="10">
                  <c:v>128.54855433507251</c:v>
                </c:pt>
                <c:pt idx="11">
                  <c:v>137.54695313852758</c:v>
                </c:pt>
                <c:pt idx="12">
                  <c:v>145.79977032683925</c:v>
                </c:pt>
                <c:pt idx="13">
                  <c:v>154.54775654644962</c:v>
                </c:pt>
                <c:pt idx="14">
                  <c:v>163.82062193923662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F92-49B2-8E08-00D19F57AC6A}"/>
            </c:ext>
          </c:extLst>
        </c:ser>
        <c:ser>
          <c:idx val="8"/>
          <c:order val="8"/>
          <c:tx>
            <c:strRef>
              <c:f>'Revenue Forecast'!$B$21</c:f>
              <c:strCache>
                <c:ptCount val="1"/>
                <c:pt idx="0">
                  <c:v>Others (Mold, Die, SBN)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cat>
            <c:numRef>
              <c:f>'Revenue Forecast'!$C$3:$Q$3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'Revenue Forecast'!$C$21:$Q$21</c:f>
              <c:numCache>
                <c:formatCode>0.00</c:formatCode>
                <c:ptCount val="15"/>
                <c:pt idx="2">
                  <c:v>3.76444</c:v>
                </c:pt>
                <c:pt idx="3">
                  <c:v>21.358209800000001</c:v>
                </c:pt>
                <c:pt idx="4">
                  <c:v>24.244176199999998</c:v>
                </c:pt>
                <c:pt idx="5">
                  <c:v>26.183710296000001</c:v>
                </c:pt>
                <c:pt idx="6">
                  <c:v>28.016570016720003</c:v>
                </c:pt>
                <c:pt idx="7">
                  <c:v>29.697564217723205</c:v>
                </c:pt>
                <c:pt idx="8">
                  <c:v>31.182442428609367</c:v>
                </c:pt>
                <c:pt idx="9">
                  <c:v>32.74156455003984</c:v>
                </c:pt>
                <c:pt idx="10">
                  <c:v>34.051227132041433</c:v>
                </c:pt>
                <c:pt idx="11">
                  <c:v>35.413276217323094</c:v>
                </c:pt>
                <c:pt idx="12">
                  <c:v>36.829807266016019</c:v>
                </c:pt>
                <c:pt idx="13">
                  <c:v>38.302999556656658</c:v>
                </c:pt>
                <c:pt idx="14">
                  <c:v>39.835119538922925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F92-49B2-8E08-00D19F57AC6A}"/>
            </c:ext>
          </c:extLst>
        </c:ser>
        <c:ser>
          <c:idx val="9"/>
          <c:order val="9"/>
          <c:tx>
            <c:strRef>
              <c:f>'Revenue Forecast'!$B$23</c:f>
              <c:strCache>
                <c:ptCount val="1"/>
                <c:pt idx="0">
                  <c:v>WDIL IT Products</c:v>
                </c:pt>
              </c:strCache>
            </c:strRef>
          </c:tx>
          <c:spPr>
            <a:solidFill>
              <a:schemeClr val="accent4">
                <a:tint val="54000"/>
              </a:schemeClr>
            </a:solidFill>
            <a:ln>
              <a:noFill/>
            </a:ln>
            <a:effectLst/>
          </c:spPr>
          <c:cat>
            <c:numRef>
              <c:f>'Revenue Forecast'!$C$3:$Q$3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'Revenue Forecast'!$C$23:$Q$23</c:f>
              <c:numCache>
                <c:formatCode>General</c:formatCode>
                <c:ptCount val="15"/>
                <c:pt idx="6" formatCode="0.00">
                  <c:v>1320.683</c:v>
                </c:pt>
                <c:pt idx="7" formatCode="0.00">
                  <c:v>1650.85375</c:v>
                </c:pt>
                <c:pt idx="8" formatCode="0.00">
                  <c:v>1981.0245</c:v>
                </c:pt>
                <c:pt idx="9" formatCode="0.00">
                  <c:v>2278.178175</c:v>
                </c:pt>
                <c:pt idx="10" formatCode="0.00">
                  <c:v>2505.9959925000003</c:v>
                </c:pt>
                <c:pt idx="11" formatCode="0.00">
                  <c:v>2731.5356318250006</c:v>
                </c:pt>
                <c:pt idx="12" formatCode="0.00">
                  <c:v>2950.058482371001</c:v>
                </c:pt>
                <c:pt idx="13" formatCode="0.00">
                  <c:v>3156.5625761369711</c:v>
                </c:pt>
                <c:pt idx="14" formatCode="0.00">
                  <c:v>3345.9563307051894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F92-49B2-8E08-00D19F57AC6A}"/>
            </c:ext>
          </c:extLst>
        </c:ser>
        <c:ser>
          <c:idx val="10"/>
          <c:order val="10"/>
          <c:tx>
            <c:strRef>
              <c:f>'Revenue Forecast'!$B$25</c:f>
              <c:strCache>
                <c:ptCount val="1"/>
                <c:pt idx="0">
                  <c:v>Lithium Battery (WHIL)</c:v>
                </c:pt>
              </c:strCache>
            </c:strRef>
          </c:tx>
          <c:spPr>
            <a:solidFill>
              <a:schemeClr val="accent4">
                <a:tint val="42000"/>
              </a:schemeClr>
            </a:solidFill>
            <a:ln>
              <a:noFill/>
            </a:ln>
            <a:effectLst/>
          </c:spPr>
          <c:cat>
            <c:numRef>
              <c:f>'Revenue Forecast'!$C$3:$Q$3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'Revenue Forecast'!$C$25:$Q$25</c:f>
              <c:numCache>
                <c:formatCode>General</c:formatCode>
                <c:ptCount val="15"/>
                <c:pt idx="5" formatCode="0.00">
                  <c:v>64</c:v>
                </c:pt>
                <c:pt idx="6" formatCode="0.00">
                  <c:v>80</c:v>
                </c:pt>
                <c:pt idx="7" formatCode="0.00">
                  <c:v>96</c:v>
                </c:pt>
                <c:pt idx="8" formatCode="0.00">
                  <c:v>110.39999999999999</c:v>
                </c:pt>
                <c:pt idx="9" formatCode="0.00">
                  <c:v>123.648</c:v>
                </c:pt>
                <c:pt idx="10" formatCode="0.00">
                  <c:v>136.0128</c:v>
                </c:pt>
                <c:pt idx="11" formatCode="0.00">
                  <c:v>149.61408</c:v>
                </c:pt>
                <c:pt idx="12" formatCode="0.00">
                  <c:v>161.58320640000002</c:v>
                </c:pt>
                <c:pt idx="13" formatCode="0.00">
                  <c:v>174.50986291200005</c:v>
                </c:pt>
                <c:pt idx="14" formatCode="0.00">
                  <c:v>188.47065194496005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F92-49B2-8E08-00D19F57A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0367"/>
        <c:axId val="11874207"/>
      </c:areaChart>
      <c:catAx>
        <c:axId val="11870367"/>
        <c:scaling>
          <c:orientation val="minMax"/>
        </c:scaling>
        <c:delete val="0"/>
        <c:axPos val="b"/>
        <c:numFmt formatCode="0&quot;A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4207"/>
        <c:crosses val="autoZero"/>
        <c:auto val="1"/>
        <c:lblAlgn val="ctr"/>
        <c:lblOffset val="100"/>
        <c:noMultiLvlLbl val="0"/>
      </c:catAx>
      <c:valAx>
        <c:axId val="1187420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0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Earnings Per Share (EPS)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Statement'!$B$39</c:f>
              <c:strCache>
                <c:ptCount val="1"/>
                <c:pt idx="0">
                  <c:v>Earnings Per Share (EPS)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80CAB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A37-4D2F-8AB1-68BF9112581C}"/>
              </c:ext>
            </c:extLst>
          </c:dPt>
          <c:dPt>
            <c:idx val="6"/>
            <c:invertIfNegative val="0"/>
            <c:bubble3D val="0"/>
            <c:spPr>
              <a:solidFill>
                <a:srgbClr val="80CAB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A37-4D2F-8AB1-68BF9112581C}"/>
              </c:ext>
            </c:extLst>
          </c:dPt>
          <c:dPt>
            <c:idx val="7"/>
            <c:invertIfNegative val="0"/>
            <c:bubble3D val="0"/>
            <c:spPr>
              <a:solidFill>
                <a:srgbClr val="80CAB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A37-4D2F-8AB1-68BF9112581C}"/>
              </c:ext>
            </c:extLst>
          </c:dPt>
          <c:dPt>
            <c:idx val="8"/>
            <c:invertIfNegative val="0"/>
            <c:bubble3D val="0"/>
            <c:spPr>
              <a:solidFill>
                <a:srgbClr val="80CAB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A37-4D2F-8AB1-68BF9112581C}"/>
              </c:ext>
            </c:extLst>
          </c:dPt>
          <c:dPt>
            <c:idx val="9"/>
            <c:invertIfNegative val="0"/>
            <c:bubble3D val="0"/>
            <c:spPr>
              <a:solidFill>
                <a:srgbClr val="80CAB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A37-4D2F-8AB1-68BF9112581C}"/>
              </c:ext>
            </c:extLst>
          </c:dPt>
          <c:dPt>
            <c:idx val="10"/>
            <c:invertIfNegative val="0"/>
            <c:bubble3D val="0"/>
            <c:spPr>
              <a:solidFill>
                <a:srgbClr val="80CAB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A37-4D2F-8AB1-68BF9112581C}"/>
              </c:ext>
            </c:extLst>
          </c:dPt>
          <c:dPt>
            <c:idx val="11"/>
            <c:invertIfNegative val="0"/>
            <c:bubble3D val="0"/>
            <c:spPr>
              <a:solidFill>
                <a:srgbClr val="80CAB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A37-4D2F-8AB1-68BF9112581C}"/>
              </c:ext>
            </c:extLst>
          </c:dPt>
          <c:dPt>
            <c:idx val="12"/>
            <c:invertIfNegative val="0"/>
            <c:bubble3D val="0"/>
            <c:spPr>
              <a:solidFill>
                <a:srgbClr val="80CAB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A37-4D2F-8AB1-68BF9112581C}"/>
              </c:ext>
            </c:extLst>
          </c:dPt>
          <c:dPt>
            <c:idx val="13"/>
            <c:invertIfNegative val="0"/>
            <c:bubble3D val="0"/>
            <c:spPr>
              <a:solidFill>
                <a:srgbClr val="80CAB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A37-4D2F-8AB1-68BF9112581C}"/>
              </c:ext>
            </c:extLst>
          </c:dPt>
          <c:dPt>
            <c:idx val="14"/>
            <c:invertIfNegative val="0"/>
            <c:bubble3D val="0"/>
            <c:spPr>
              <a:solidFill>
                <a:srgbClr val="80CAB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A37-4D2F-8AB1-68BF911258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'Income Statement'!$C$3:$Q$3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'Income Statement'!$C$39:$Q$39</c:f>
              <c:numCache>
                <c:formatCode>0.00</c:formatCode>
                <c:ptCount val="15"/>
                <c:pt idx="0">
                  <c:v>54.111924782819017</c:v>
                </c:pt>
                <c:pt idx="1">
                  <c:v>40.161810002704158</c:v>
                </c:pt>
                <c:pt idx="2">
                  <c:v>25.83706473117968</c:v>
                </c:pt>
                <c:pt idx="3">
                  <c:v>44.780396554045751</c:v>
                </c:pt>
                <c:pt idx="4">
                  <c:v>34.219843080183487</c:v>
                </c:pt>
                <c:pt idx="5">
                  <c:v>43.75735145902631</c:v>
                </c:pt>
                <c:pt idx="6">
                  <c:v>53.904566840289192</c:v>
                </c:pt>
                <c:pt idx="7">
                  <c:v>63.831533799602845</c:v>
                </c:pt>
                <c:pt idx="8">
                  <c:v>64.917078468211926</c:v>
                </c:pt>
                <c:pt idx="9">
                  <c:v>70.147267711970883</c:v>
                </c:pt>
                <c:pt idx="10">
                  <c:v>81.12011974905846</c:v>
                </c:pt>
                <c:pt idx="11">
                  <c:v>71.166089520243418</c:v>
                </c:pt>
                <c:pt idx="12">
                  <c:v>81.097048990559969</c:v>
                </c:pt>
                <c:pt idx="13">
                  <c:v>84.988196515986061</c:v>
                </c:pt>
                <c:pt idx="14">
                  <c:v>88.840727301256067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A37-4D2F-8AB1-68BF9112581C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98104831"/>
        <c:axId val="1898082271"/>
      </c:barChart>
      <c:catAx>
        <c:axId val="1898104831"/>
        <c:scaling>
          <c:orientation val="minMax"/>
        </c:scaling>
        <c:delete val="0"/>
        <c:axPos val="b"/>
        <c:numFmt formatCode="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082271"/>
        <c:crosses val="autoZero"/>
        <c:auto val="1"/>
        <c:lblAlgn val="ctr"/>
        <c:lblOffset val="100"/>
        <c:noMultiLvlLbl val="0"/>
      </c:catAx>
      <c:valAx>
        <c:axId val="1898082271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10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Operating Performance – EBIT &amp; Margin Expansion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Statement'!$B$23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'Income Statement'!$C$3:$Q$3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'Income Statement'!$C$23:$Q$23</c:f>
              <c:numCache>
                <c:formatCode>0.00</c:formatCode>
                <c:ptCount val="15"/>
                <c:pt idx="0">
                  <c:v>1934.5323946999997</c:v>
                </c:pt>
                <c:pt idx="1">
                  <c:v>1735.0336154999995</c:v>
                </c:pt>
                <c:pt idx="2">
                  <c:v>1556.8493764</c:v>
                </c:pt>
                <c:pt idx="3">
                  <c:v>1879.7025824999989</c:v>
                </c:pt>
                <c:pt idx="4">
                  <c:v>1482.1283766000001</c:v>
                </c:pt>
                <c:pt idx="5">
                  <c:v>1802.3634107512369</c:v>
                </c:pt>
                <c:pt idx="6">
                  <c:v>2162.0590386507793</c:v>
                </c:pt>
                <c:pt idx="7">
                  <c:v>2502.5378251627253</c:v>
                </c:pt>
                <c:pt idx="8">
                  <c:v>2694.0197318266673</c:v>
                </c:pt>
                <c:pt idx="9">
                  <c:v>2878.3680403634853</c:v>
                </c:pt>
                <c:pt idx="10">
                  <c:v>3249.7343626615666</c:v>
                </c:pt>
                <c:pt idx="11">
                  <c:v>3399.0081663500414</c:v>
                </c:pt>
                <c:pt idx="12">
                  <c:v>3801.8159825531884</c:v>
                </c:pt>
                <c:pt idx="13">
                  <c:v>3950.4690754096482</c:v>
                </c:pt>
                <c:pt idx="14">
                  <c:v>4096.8661026702885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63-4A2E-80E3-033A149C0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3366927"/>
        <c:axId val="1483354447"/>
      </c:barChart>
      <c:lineChart>
        <c:grouping val="standard"/>
        <c:varyColors val="0"/>
        <c:ser>
          <c:idx val="1"/>
          <c:order val="1"/>
          <c:tx>
            <c:strRef>
              <c:f>'Income Statement'!$B$24</c:f>
              <c:strCache>
                <c:ptCount val="1"/>
                <c:pt idx="0">
                  <c:v>EBIT Margin %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'Income Statement'!$C$3:$Q$3</c:f>
              <c:numCache>
                <c:formatCode>0"A"</c:formatCode>
                <c:ptCount val="1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 formatCode="0&quot;E&quot;">
                  <c:v>2026</c:v>
                </c:pt>
                <c:pt idx="6" formatCode="0&quot;E&quot;">
                  <c:v>2027</c:v>
                </c:pt>
                <c:pt idx="7" formatCode="0&quot;E&quot;">
                  <c:v>2028</c:v>
                </c:pt>
                <c:pt idx="8" formatCode="0&quot;E&quot;">
                  <c:v>2029</c:v>
                </c:pt>
                <c:pt idx="9" formatCode="0&quot;E&quot;">
                  <c:v>2030</c:v>
                </c:pt>
                <c:pt idx="10" formatCode="0&quot;E&quot;">
                  <c:v>2031</c:v>
                </c:pt>
                <c:pt idx="11" formatCode="0&quot;E&quot;">
                  <c:v>2032</c:v>
                </c:pt>
                <c:pt idx="12" formatCode="0&quot;E&quot;">
                  <c:v>2033</c:v>
                </c:pt>
                <c:pt idx="13" formatCode="0&quot;E&quot;">
                  <c:v>2034</c:v>
                </c:pt>
                <c:pt idx="14" formatCode="0&quot;E&quot;">
                  <c:v>2035</c:v>
                </c:pt>
              </c:numCache>
            </c:numRef>
          </c:cat>
          <c:val>
            <c:numRef>
              <c:f>'Income Statement'!$C$24:$Q$24</c:f>
              <c:numCache>
                <c:formatCode>0.00%</c:formatCode>
                <c:ptCount val="15"/>
                <c:pt idx="0">
                  <c:v>0.27655960634921389</c:v>
                </c:pt>
                <c:pt idx="1">
                  <c:v>0.21241404293178551</c:v>
                </c:pt>
                <c:pt idx="2">
                  <c:v>0.23455615307631414</c:v>
                </c:pt>
                <c:pt idx="3">
                  <c:v>0.25022280236619826</c:v>
                </c:pt>
                <c:pt idx="4">
                  <c:v>0.20927373152505391</c:v>
                </c:pt>
                <c:pt idx="5">
                  <c:v>0.24</c:v>
                </c:pt>
                <c:pt idx="6">
                  <c:v>0.23750737987200787</c:v>
                </c:pt>
                <c:pt idx="7">
                  <c:v>0.25600000000000001</c:v>
                </c:pt>
                <c:pt idx="8">
                  <c:v>0.25799999999999995</c:v>
                </c:pt>
                <c:pt idx="9">
                  <c:v>0.26</c:v>
                </c:pt>
                <c:pt idx="10">
                  <c:v>0.28000000000000003</c:v>
                </c:pt>
                <c:pt idx="11">
                  <c:v>0.27999999999999997</c:v>
                </c:pt>
                <c:pt idx="12">
                  <c:v>0.3</c:v>
                </c:pt>
                <c:pt idx="13">
                  <c:v>0.30000000000000004</c:v>
                </c:pt>
                <c:pt idx="14">
                  <c:v>0.29999999999999993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63-4A2E-80E3-033A149C0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3345327"/>
        <c:axId val="1483344847"/>
      </c:lineChart>
      <c:catAx>
        <c:axId val="1483366927"/>
        <c:scaling>
          <c:orientation val="minMax"/>
        </c:scaling>
        <c:delete val="0"/>
        <c:axPos val="b"/>
        <c:numFmt formatCode="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354447"/>
        <c:crosses val="autoZero"/>
        <c:auto val="1"/>
        <c:lblAlgn val="ctr"/>
        <c:lblOffset val="100"/>
        <c:noMultiLvlLbl val="0"/>
      </c:catAx>
      <c:valAx>
        <c:axId val="148335444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366927"/>
        <c:crosses val="autoZero"/>
        <c:crossBetween val="between"/>
      </c:valAx>
      <c:valAx>
        <c:axId val="148334484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345327"/>
        <c:crosses val="max"/>
        <c:crossBetween val="between"/>
      </c:valAx>
      <c:catAx>
        <c:axId val="1483345327"/>
        <c:scaling>
          <c:orientation val="minMax"/>
        </c:scaling>
        <c:delete val="1"/>
        <c:axPos val="b"/>
        <c:numFmt formatCode="0&quot;A&quot;" sourceLinked="1"/>
        <c:majorTickMark val="none"/>
        <c:minorTickMark val="none"/>
        <c:tickLblPos val="nextTo"/>
        <c:crossAx val="14833448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>
                <a:effectLst/>
              </a:rPr>
              <a:t>Liquidity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'Ratio Analysis'!$B$39</c:f>
              <c:strCache>
                <c:ptCount val="1"/>
                <c:pt idx="0">
                  <c:v>Current Ratio</c:v>
                </c:pt>
              </c:strCache>
            </c:strRef>
          </c:tx>
          <c:spPr>
            <a:ln w="28575" cap="rnd">
              <a:solidFill>
                <a:schemeClr val="accent5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'Ratio Analysis'!$C$3:$G$3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'Ratio Analysis'!$C$39:$G$39</c:f>
              <c:numCache>
                <c:formatCode>0.00</c:formatCode>
                <c:ptCount val="5"/>
                <c:pt idx="0">
                  <c:v>1.8837658618656967</c:v>
                </c:pt>
                <c:pt idx="1">
                  <c:v>1.5932929160459492</c:v>
                </c:pt>
                <c:pt idx="2">
                  <c:v>1.963520041994069</c:v>
                </c:pt>
                <c:pt idx="3">
                  <c:v>2.2279701085767845</c:v>
                </c:pt>
                <c:pt idx="4">
                  <c:v>2.5500821502295112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BA-420A-B96B-035862953643}"/>
            </c:ext>
          </c:extLst>
        </c:ser>
        <c:ser>
          <c:idx val="1"/>
          <c:order val="1"/>
          <c:tx>
            <c:strRef>
              <c:f>'Ratio Analysis'!$B$40</c:f>
              <c:strCache>
                <c:ptCount val="1"/>
                <c:pt idx="0">
                  <c:v>Quick Ratio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'Ratio Analysis'!$C$3:$G$3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'Ratio Analysis'!$C$40:$G$40</c:f>
              <c:numCache>
                <c:formatCode>0.00</c:formatCode>
                <c:ptCount val="5"/>
                <c:pt idx="0">
                  <c:v>1.0788600414306388</c:v>
                </c:pt>
                <c:pt idx="1">
                  <c:v>0.83261362507413128</c:v>
                </c:pt>
                <c:pt idx="2">
                  <c:v>1.0855162405071863</c:v>
                </c:pt>
                <c:pt idx="3">
                  <c:v>1.2699596308410563</c:v>
                </c:pt>
                <c:pt idx="4">
                  <c:v>1.4614101156760473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BA-420A-B96B-035862953643}"/>
            </c:ext>
          </c:extLst>
        </c:ser>
        <c:ser>
          <c:idx val="2"/>
          <c:order val="2"/>
          <c:tx>
            <c:strRef>
              <c:f>'Ratio Analysis'!$B$41</c:f>
              <c:strCache>
                <c:ptCount val="1"/>
                <c:pt idx="0">
                  <c:v>Cash Ratio</c:v>
                </c:pt>
              </c:strCache>
            </c:strRef>
          </c:tx>
          <c:spPr>
            <a:ln w="28575" cap="rnd">
              <a:solidFill>
                <a:schemeClr val="accent5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'Ratio Analysis'!$C$3:$G$3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'Ratio Analysis'!$C$41:$G$41</c:f>
              <c:numCache>
                <c:formatCode>0.00</c:formatCode>
                <c:ptCount val="5"/>
                <c:pt idx="0">
                  <c:v>0.10230881677720151</c:v>
                </c:pt>
                <c:pt idx="1">
                  <c:v>4.2311055672886427E-2</c:v>
                </c:pt>
                <c:pt idx="2">
                  <c:v>6.8261792508137742E-2</c:v>
                </c:pt>
                <c:pt idx="3">
                  <c:v>0.18527615732914049</c:v>
                </c:pt>
                <c:pt idx="4">
                  <c:v>0.17712028555977555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BA-420A-B96B-035862953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3372687"/>
        <c:axId val="1483374127"/>
      </c:lineChart>
      <c:catAx>
        <c:axId val="148337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374127"/>
        <c:crosses val="autoZero"/>
        <c:auto val="1"/>
        <c:lblAlgn val="ctr"/>
        <c:lblOffset val="100"/>
        <c:noMultiLvlLbl val="0"/>
      </c:catAx>
      <c:valAx>
        <c:axId val="148337412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37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106795</xdr:colOff>
      <xdr:row>1</xdr:row>
      <xdr:rowOff>108528</xdr:rowOff>
    </xdr:from>
    <xdr:to>
      <xdr:col>11</xdr:col>
      <xdr:colOff>534554</xdr:colOff>
      <xdr:row>24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22FED1-DE67-45F8-B969-3D640D92E7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126999</xdr:colOff>
      <xdr:row>1</xdr:row>
      <xdr:rowOff>69274</xdr:rowOff>
    </xdr:from>
    <xdr:to>
      <xdr:col>25</xdr:col>
      <xdr:colOff>508000</xdr:colOff>
      <xdr:row>24</xdr:row>
      <xdr:rowOff>34636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0696C9-BC56-4FFE-ADCF-D4E1B6505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611908</xdr:colOff>
      <xdr:row>25</xdr:row>
      <xdr:rowOff>184726</xdr:rowOff>
    </xdr:from>
    <xdr:to>
      <xdr:col>11</xdr:col>
      <xdr:colOff>554181</xdr:colOff>
      <xdr:row>49</xdr:row>
      <xdr:rowOff>150091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97E2DB-595A-4F0F-B42D-1B2D7A97E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138544</xdr:colOff>
      <xdr:row>26</xdr:row>
      <xdr:rowOff>11544</xdr:rowOff>
    </xdr:from>
    <xdr:to>
      <xdr:col>25</xdr:col>
      <xdr:colOff>554181</xdr:colOff>
      <xdr:row>49</xdr:row>
      <xdr:rowOff>161636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EEC44A-5A35-4A72-A56D-CA8803F361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52</xdr:row>
      <xdr:rowOff>0</xdr:rowOff>
    </xdr:from>
    <xdr:to>
      <xdr:col>6</xdr:col>
      <xdr:colOff>392546</xdr:colOff>
      <xdr:row>67</xdr:row>
      <xdr:rowOff>138546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58DAE21-4243-449E-A91A-52521A7F26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46181</xdr:colOff>
      <xdr:row>28</xdr:row>
      <xdr:rowOff>23091</xdr:rowOff>
    </xdr:from>
    <xdr:to>
      <xdr:col>17</xdr:col>
      <xdr:colOff>46181</xdr:colOff>
      <xdr:row>46</xdr:row>
      <xdr:rowOff>115454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A3F265D-9431-5F74-0220-6AC20A8E3B6E}"/>
            </a:ext>
          </a:extLst>
        </xdr:cNvPr>
        <xdr:cNvCxnSpPr/>
      </xdr:nvCxnSpPr>
      <xdr:spPr>
        <a:xfrm flipV="1">
          <a:off x="12088090" y="5195455"/>
          <a:ext cx="0" cy="3417454"/>
        </a:xfrm>
        <a:prstGeom prst="line">
          <a:avLst/>
        </a:prstGeom>
        <a:ln w="1905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fta Hider Rahman" id="{8357ACFC-5F85-4F1C-A3CF-E13A8F0B04DC}" userId="ff28d3e8e5539660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7" dT="2025-12-02T06:35:08.42" personId="{8357ACFC-5F85-4F1C-A3CF-E13A8F0B04DC}" id="{AC009A31-7FB1-4F88-8C74-71AFE49D601B}">
    <text>Assumed - BDT 50 Crores</text>
  </threadedComment>
  <threadedComment ref="C16" dT="2025-12-02T12:02:47.19" personId="{8357ACFC-5F85-4F1C-A3CF-E13A8F0B04DC}" id="{425384A7-C135-4D9D-9C10-3FDA593906CA}">
    <text xml:space="preserve">ST loan + acceptance interest </text>
  </threadedComment>
  <threadedComment ref="C36" dT="2025-12-02T12:01:57.17" personId="{8357ACFC-5F85-4F1C-A3CF-E13A8F0B04DC}" id="{BA3B8A10-0DA0-4CEB-8661-E49285D3CA25}">
    <text xml:space="preserve">Excise Duty, bank charges + FX loss </text>
  </threadedComment>
  <threadedComment ref="D41" dT="2025-12-02T08:46:31.34" personId="{8357ACFC-5F85-4F1C-A3CF-E13A8F0B04DC}" id="{F8D981EB-1BA6-4A48-AE39-3F4F1AA3A1A8}">
    <text>Assumed as usually 1–3% of cash</text>
  </threadedComment>
</ThreadedComment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12B0-327E-494F-8784-E8E07B65C7F2}">
  <dimension ref="B2:M21"/>
  <sheetViews>
    <sheetView showGridLines="0" tabSelected="1" workbookViewId="0">
      <selection activeCell="E8" sqref="E8"/>
    </sheetView>
  </sheetViews>
  <sheetFormatPr defaultColWidth="8.7265625" defaultRowHeight="14.5" x14ac:dyDescent="0.35"/>
  <cols>
    <col min="1" max="1" width="2.1796875" style="2" customWidth="1"/>
    <col min="2" max="2" width="13.453125" style="2" customWidth="1"/>
    <col min="3" max="3" width="29.81640625" style="2" customWidth="1"/>
    <col min="4" max="4" width="13.26953125" style="2" customWidth="1"/>
    <col min="5" max="5" width="11.54296875" style="2" customWidth="1"/>
    <col min="6" max="9" width="8.7265625" style="2" customWidth="1"/>
    <col min="10" max="10" width="10.453125" style="2" customWidth="1"/>
    <col min="11" max="15" width="8.7265625" style="2" customWidth="1"/>
    <col min="16" max="16384" width="8.7265625" style="2"/>
  </cols>
  <sheetData>
    <row r="2" spans="2:13" ht="19" thickBot="1" x14ac:dyDescent="0.5">
      <c r="B2" s="66" t="s">
        <v>150</v>
      </c>
      <c r="C2" s="67"/>
      <c r="D2" s="67"/>
      <c r="E2" s="67"/>
      <c r="F2" s="67"/>
      <c r="G2" s="67"/>
      <c r="H2" s="67"/>
      <c r="I2" s="67"/>
      <c r="J2" s="67"/>
      <c r="K2" s="229"/>
      <c r="L2" s="229"/>
      <c r="M2" s="229"/>
    </row>
    <row r="4" spans="2:13" x14ac:dyDescent="0.35">
      <c r="B4" s="8" t="s">
        <v>151</v>
      </c>
    </row>
    <row r="5" spans="2:13" ht="14.5" customHeight="1" x14ac:dyDescent="0.35">
      <c r="B5" s="223" t="s">
        <v>152</v>
      </c>
      <c r="C5" s="223"/>
      <c r="D5" s="223"/>
      <c r="E5" s="223"/>
      <c r="F5" s="223"/>
      <c r="G5" s="223"/>
      <c r="H5" s="223"/>
      <c r="I5" s="223"/>
      <c r="J5" s="223"/>
      <c r="K5" s="25"/>
      <c r="L5" s="25"/>
    </row>
    <row r="6" spans="2:13" x14ac:dyDescent="0.35">
      <c r="B6" s="223"/>
      <c r="C6" s="223"/>
      <c r="D6" s="223"/>
      <c r="E6" s="223"/>
      <c r="F6" s="223"/>
      <c r="G6" s="223"/>
      <c r="H6" s="223"/>
      <c r="I6" s="223"/>
      <c r="J6" s="223"/>
      <c r="K6" s="25"/>
      <c r="L6" s="25"/>
    </row>
    <row r="7" spans="2:13" x14ac:dyDescent="0.35">
      <c r="B7" s="223"/>
      <c r="C7" s="223"/>
      <c r="D7" s="223"/>
      <c r="E7" s="223"/>
      <c r="F7" s="223"/>
      <c r="G7" s="223"/>
      <c r="H7" s="223"/>
      <c r="I7" s="223"/>
      <c r="J7" s="223"/>
      <c r="K7" s="25"/>
      <c r="L7" s="25"/>
    </row>
    <row r="9" spans="2:13" x14ac:dyDescent="0.35">
      <c r="B9" s="8" t="s">
        <v>153</v>
      </c>
    </row>
    <row r="10" spans="2:13" ht="14.5" customHeight="1" x14ac:dyDescent="0.35">
      <c r="B10" s="26" t="s">
        <v>154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1" spans="2:13" x14ac:dyDescent="0.35">
      <c r="B11" s="27" t="s">
        <v>155</v>
      </c>
    </row>
    <row r="12" spans="2:13" x14ac:dyDescent="0.35">
      <c r="B12" s="27" t="s">
        <v>156</v>
      </c>
    </row>
    <row r="13" spans="2:13" x14ac:dyDescent="0.35">
      <c r="B13" s="27" t="s">
        <v>157</v>
      </c>
    </row>
    <row r="15" spans="2:13" x14ac:dyDescent="0.35">
      <c r="B15" s="8" t="s">
        <v>158</v>
      </c>
    </row>
    <row r="16" spans="2:13" x14ac:dyDescent="0.35">
      <c r="B16" s="2" t="s">
        <v>159</v>
      </c>
    </row>
    <row r="18" spans="2:3" x14ac:dyDescent="0.35">
      <c r="B18" s="28" t="s">
        <v>160</v>
      </c>
      <c r="C18" s="28" t="s">
        <v>161</v>
      </c>
    </row>
    <row r="19" spans="2:3" s="29" customFormat="1" x14ac:dyDescent="0.35">
      <c r="B19" s="33" t="s">
        <v>165</v>
      </c>
      <c r="C19" s="33" t="s">
        <v>162</v>
      </c>
    </row>
    <row r="20" spans="2:3" s="29" customFormat="1" x14ac:dyDescent="0.35">
      <c r="B20" s="33" t="s">
        <v>166</v>
      </c>
      <c r="C20" s="33" t="s">
        <v>163</v>
      </c>
    </row>
    <row r="21" spans="2:3" s="29" customFormat="1" x14ac:dyDescent="0.35">
      <c r="B21" s="33" t="s">
        <v>167</v>
      </c>
      <c r="C21" s="33" t="s">
        <v>164</v>
      </c>
    </row>
  </sheetData>
  <mergeCells count="1">
    <mergeCell ref="B5:J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B499F-0444-4CA4-ABED-B21ECFFFC8F4}">
  <dimension ref="B2:O54"/>
  <sheetViews>
    <sheetView showGridLines="0" workbookViewId="0">
      <selection activeCell="D2" sqref="D2"/>
    </sheetView>
  </sheetViews>
  <sheetFormatPr defaultColWidth="9.1796875" defaultRowHeight="14.5" x14ac:dyDescent="0.35"/>
  <cols>
    <col min="1" max="1" width="2.1796875" style="2" customWidth="1"/>
    <col min="2" max="2" width="3.81640625" style="2" customWidth="1"/>
    <col min="3" max="3" width="46.453125" style="2" customWidth="1"/>
    <col min="4" max="13" width="10" style="2" customWidth="1"/>
    <col min="14" max="14" width="2.1796875" style="2" customWidth="1"/>
    <col min="15" max="15" width="130.1796875" style="23" customWidth="1"/>
    <col min="16" max="16384" width="9.1796875" style="2"/>
  </cols>
  <sheetData>
    <row r="2" spans="2:15" ht="18.5" x14ac:dyDescent="0.45">
      <c r="B2" s="92" t="s">
        <v>122</v>
      </c>
    </row>
    <row r="4" spans="2:15" x14ac:dyDescent="0.35">
      <c r="C4" s="93"/>
      <c r="D4" s="94">
        <v>2026</v>
      </c>
      <c r="E4" s="94">
        <v>2027</v>
      </c>
      <c r="F4" s="94">
        <v>2028</v>
      </c>
      <c r="G4" s="94">
        <v>2029</v>
      </c>
      <c r="H4" s="94">
        <v>2030</v>
      </c>
      <c r="I4" s="94">
        <v>2031</v>
      </c>
      <c r="J4" s="94">
        <v>2032</v>
      </c>
      <c r="K4" s="94">
        <v>2033</v>
      </c>
      <c r="L4" s="94">
        <v>2034</v>
      </c>
      <c r="M4" s="94">
        <v>2035</v>
      </c>
      <c r="N4" s="95"/>
      <c r="O4" s="95" t="s">
        <v>197</v>
      </c>
    </row>
    <row r="5" spans="2:15" x14ac:dyDescent="0.35">
      <c r="C5" s="8" t="s">
        <v>360</v>
      </c>
    </row>
    <row r="6" spans="2:15" x14ac:dyDescent="0.35">
      <c r="C6" s="96" t="s">
        <v>285</v>
      </c>
      <c r="D6" s="97">
        <v>0.03</v>
      </c>
      <c r="E6" s="97">
        <v>0.03</v>
      </c>
      <c r="F6" s="97">
        <v>0.03</v>
      </c>
      <c r="G6" s="97">
        <v>0.03</v>
      </c>
      <c r="H6" s="97">
        <v>0.03</v>
      </c>
      <c r="I6" s="97">
        <v>2.5000000000000001E-2</v>
      </c>
      <c r="J6" s="97">
        <v>2.5000000000000001E-2</v>
      </c>
      <c r="K6" s="97">
        <v>2.5000000000000001E-2</v>
      </c>
      <c r="L6" s="97">
        <v>0.02</v>
      </c>
      <c r="M6" s="97">
        <v>0.02</v>
      </c>
      <c r="O6" s="82" t="s">
        <v>334</v>
      </c>
    </row>
    <row r="7" spans="2:15" x14ac:dyDescent="0.35">
      <c r="C7" s="96" t="s">
        <v>280</v>
      </c>
      <c r="D7" s="97">
        <v>0.08</v>
      </c>
      <c r="E7" s="97">
        <v>7.0000000000000007E-2</v>
      </c>
      <c r="F7" s="97">
        <v>0.06</v>
      </c>
      <c r="G7" s="97">
        <v>0.06</v>
      </c>
      <c r="H7" s="97">
        <v>0.06</v>
      </c>
      <c r="I7" s="97">
        <v>5.5E-2</v>
      </c>
      <c r="J7" s="97">
        <v>0.05</v>
      </c>
      <c r="K7" s="97">
        <v>0.05</v>
      </c>
      <c r="L7" s="97">
        <v>0.04</v>
      </c>
      <c r="M7" s="97">
        <v>0.04</v>
      </c>
      <c r="O7" s="82" t="s">
        <v>325</v>
      </c>
    </row>
    <row r="8" spans="2:15" x14ac:dyDescent="0.35">
      <c r="C8" s="96" t="s">
        <v>281</v>
      </c>
      <c r="D8" s="97">
        <v>2.5000000000000001E-2</v>
      </c>
      <c r="E8" s="97">
        <v>0.02</v>
      </c>
      <c r="F8" s="97">
        <v>1.4999999999999999E-2</v>
      </c>
      <c r="G8" s="97">
        <v>1.4999999999999999E-2</v>
      </c>
      <c r="H8" s="97">
        <v>1.4999999999999999E-2</v>
      </c>
      <c r="I8" s="97">
        <v>0.01</v>
      </c>
      <c r="J8" s="97">
        <v>0.01</v>
      </c>
      <c r="K8" s="97">
        <v>0.01</v>
      </c>
      <c r="L8" s="97">
        <v>0.01</v>
      </c>
      <c r="M8" s="97">
        <v>0.01</v>
      </c>
      <c r="O8" s="82" t="s">
        <v>324</v>
      </c>
    </row>
    <row r="9" spans="2:15" x14ac:dyDescent="0.35">
      <c r="C9" s="96" t="s">
        <v>286</v>
      </c>
      <c r="D9" s="97">
        <v>0.1</v>
      </c>
      <c r="E9" s="97">
        <v>0.08</v>
      </c>
      <c r="F9" s="97">
        <v>7.0000000000000007E-2</v>
      </c>
      <c r="G9" s="97">
        <v>0.06</v>
      </c>
      <c r="H9" s="97">
        <v>0.05</v>
      </c>
      <c r="I9" s="97">
        <v>0.05</v>
      </c>
      <c r="J9" s="97">
        <v>0.05</v>
      </c>
      <c r="K9" s="97">
        <v>0.05</v>
      </c>
      <c r="L9" s="97">
        <v>0.05</v>
      </c>
      <c r="M9" s="97">
        <v>0.05</v>
      </c>
      <c r="O9" s="82" t="s">
        <v>326</v>
      </c>
    </row>
    <row r="10" spans="2:15" x14ac:dyDescent="0.35">
      <c r="C10" s="96" t="s">
        <v>287</v>
      </c>
      <c r="D10" s="97">
        <v>0.1</v>
      </c>
      <c r="E10" s="97">
        <v>0.09</v>
      </c>
      <c r="F10" s="97">
        <v>0.08</v>
      </c>
      <c r="G10" s="97">
        <v>7.0000000000000007E-2</v>
      </c>
      <c r="H10" s="97">
        <v>0.06</v>
      </c>
      <c r="I10" s="97">
        <v>0.05</v>
      </c>
      <c r="J10" s="97">
        <v>0.04</v>
      </c>
      <c r="K10" s="97">
        <v>0.04</v>
      </c>
      <c r="L10" s="97">
        <v>0.04</v>
      </c>
      <c r="M10" s="97">
        <v>0.04</v>
      </c>
      <c r="O10" s="82" t="s">
        <v>327</v>
      </c>
    </row>
    <row r="11" spans="2:15" x14ac:dyDescent="0.35">
      <c r="C11" s="96" t="s">
        <v>288</v>
      </c>
      <c r="D11" s="97">
        <v>0.15</v>
      </c>
      <c r="E11" s="97">
        <v>0.14000000000000001</v>
      </c>
      <c r="F11" s="97">
        <v>0.12</v>
      </c>
      <c r="G11" s="97">
        <v>0.1</v>
      </c>
      <c r="H11" s="97">
        <v>0.09</v>
      </c>
      <c r="I11" s="97">
        <v>0.08</v>
      </c>
      <c r="J11" s="97">
        <v>7.0000000000000007E-2</v>
      </c>
      <c r="K11" s="97">
        <v>0.06</v>
      </c>
      <c r="L11" s="97">
        <v>0.05</v>
      </c>
      <c r="M11" s="97">
        <v>0.04</v>
      </c>
      <c r="O11" s="82" t="s">
        <v>328</v>
      </c>
    </row>
    <row r="12" spans="2:15" x14ac:dyDescent="0.35">
      <c r="C12" s="96" t="s">
        <v>290</v>
      </c>
      <c r="D12" s="97">
        <v>0.12</v>
      </c>
      <c r="E12" s="97">
        <v>0.1</v>
      </c>
      <c r="F12" s="97">
        <v>0.08</v>
      </c>
      <c r="G12" s="97">
        <v>7.0000000000000007E-2</v>
      </c>
      <c r="H12" s="97">
        <v>0.06</v>
      </c>
      <c r="I12" s="97">
        <v>0.05</v>
      </c>
      <c r="J12" s="97">
        <v>0.05</v>
      </c>
      <c r="K12" s="97">
        <v>0.05</v>
      </c>
      <c r="L12" s="97">
        <v>0.05</v>
      </c>
      <c r="M12" s="97">
        <v>0.05</v>
      </c>
      <c r="O12" s="82" t="s">
        <v>329</v>
      </c>
    </row>
    <row r="13" spans="2:15" x14ac:dyDescent="0.35">
      <c r="C13" s="96" t="s">
        <v>289</v>
      </c>
      <c r="D13" s="97">
        <v>0.18</v>
      </c>
      <c r="E13" s="97">
        <v>0.16</v>
      </c>
      <c r="F13" s="97">
        <v>0.14000000000000001</v>
      </c>
      <c r="G13" s="97">
        <v>0.12</v>
      </c>
      <c r="H13" s="97">
        <v>0.1</v>
      </c>
      <c r="I13" s="97">
        <v>0.08</v>
      </c>
      <c r="J13" s="97">
        <v>7.0000000000000007E-2</v>
      </c>
      <c r="K13" s="97">
        <v>0.06</v>
      </c>
      <c r="L13" s="97">
        <v>0.06</v>
      </c>
      <c r="M13" s="97">
        <v>0.06</v>
      </c>
      <c r="O13" s="82" t="s">
        <v>330</v>
      </c>
    </row>
    <row r="14" spans="2:15" x14ac:dyDescent="0.35">
      <c r="C14" s="96" t="s">
        <v>316</v>
      </c>
      <c r="D14" s="97">
        <v>0.08</v>
      </c>
      <c r="E14" s="97">
        <v>7.0000000000000007E-2</v>
      </c>
      <c r="F14" s="97">
        <v>0.06</v>
      </c>
      <c r="G14" s="97">
        <v>0.05</v>
      </c>
      <c r="H14" s="97">
        <v>0.05</v>
      </c>
      <c r="I14" s="97">
        <v>0.04</v>
      </c>
      <c r="J14" s="97">
        <v>0.04</v>
      </c>
      <c r="K14" s="97">
        <v>0.04</v>
      </c>
      <c r="L14" s="97">
        <v>0.04</v>
      </c>
      <c r="M14" s="97">
        <v>0.04</v>
      </c>
      <c r="O14" s="82" t="s">
        <v>331</v>
      </c>
    </row>
    <row r="15" spans="2:15" x14ac:dyDescent="0.35">
      <c r="C15" s="96" t="s">
        <v>358</v>
      </c>
      <c r="D15" s="97">
        <v>0</v>
      </c>
      <c r="E15" s="97">
        <v>0.3</v>
      </c>
      <c r="F15" s="97">
        <v>0.25</v>
      </c>
      <c r="G15" s="97">
        <v>0.2</v>
      </c>
      <c r="H15" s="97">
        <v>0.15</v>
      </c>
      <c r="I15" s="97">
        <v>0.1</v>
      </c>
      <c r="J15" s="97">
        <v>0.09</v>
      </c>
      <c r="K15" s="97">
        <v>0.08</v>
      </c>
      <c r="L15" s="97">
        <v>7.0000000000000007E-2</v>
      </c>
      <c r="M15" s="97">
        <v>0.06</v>
      </c>
      <c r="O15" s="82" t="s">
        <v>332</v>
      </c>
    </row>
    <row r="16" spans="2:15" x14ac:dyDescent="0.35">
      <c r="C16" s="96" t="s">
        <v>356</v>
      </c>
      <c r="D16" s="97"/>
      <c r="E16" s="97">
        <v>0.25</v>
      </c>
      <c r="F16" s="97">
        <v>0.2</v>
      </c>
      <c r="G16" s="97">
        <v>0.15</v>
      </c>
      <c r="H16" s="97">
        <v>0.12</v>
      </c>
      <c r="I16" s="97">
        <v>0.1</v>
      </c>
      <c r="J16" s="97">
        <v>0.1</v>
      </c>
      <c r="K16" s="97">
        <v>0.08</v>
      </c>
      <c r="L16" s="97">
        <v>0.08</v>
      </c>
      <c r="M16" s="97">
        <v>0.08</v>
      </c>
      <c r="O16" s="82" t="s">
        <v>333</v>
      </c>
    </row>
    <row r="17" spans="3:15" x14ac:dyDescent="0.35">
      <c r="C17" s="96" t="s">
        <v>315</v>
      </c>
      <c r="D17" s="97">
        <v>0.08</v>
      </c>
      <c r="E17" s="97">
        <v>0.08</v>
      </c>
      <c r="F17" s="97">
        <v>0.08</v>
      </c>
      <c r="G17" s="97">
        <v>0.08</v>
      </c>
      <c r="H17" s="97">
        <v>0.08</v>
      </c>
      <c r="I17" s="97">
        <v>0.08</v>
      </c>
      <c r="J17" s="97">
        <v>0.08</v>
      </c>
      <c r="K17" s="97">
        <v>0.08</v>
      </c>
      <c r="L17" s="97">
        <v>0.08</v>
      </c>
      <c r="M17" s="97">
        <v>0.08</v>
      </c>
      <c r="O17" s="82" t="s">
        <v>323</v>
      </c>
    </row>
    <row r="18" spans="3:15" x14ac:dyDescent="0.35">
      <c r="C18" s="96" t="s">
        <v>361</v>
      </c>
      <c r="E18" s="98">
        <f>1015.91*(1+E15)</f>
        <v>1320.683</v>
      </c>
      <c r="F18" s="97"/>
      <c r="G18" s="97"/>
      <c r="H18" s="97"/>
      <c r="I18" s="97"/>
      <c r="J18" s="97"/>
      <c r="K18" s="97"/>
      <c r="L18" s="97"/>
      <c r="M18" s="97"/>
      <c r="O18" s="82" t="s">
        <v>362</v>
      </c>
    </row>
    <row r="19" spans="3:15" x14ac:dyDescent="0.35">
      <c r="C19" s="96" t="s">
        <v>363</v>
      </c>
      <c r="D19" s="99">
        <f>(80000*8000)/10000000</f>
        <v>64</v>
      </c>
      <c r="E19" s="97"/>
      <c r="F19" s="97"/>
      <c r="G19" s="97"/>
      <c r="H19" s="97"/>
      <c r="I19" s="97"/>
      <c r="J19" s="97"/>
      <c r="K19" s="97"/>
      <c r="L19" s="97"/>
      <c r="M19" s="97"/>
      <c r="O19" s="82" t="s">
        <v>364</v>
      </c>
    </row>
    <row r="20" spans="3:15" x14ac:dyDescent="0.35">
      <c r="C20" s="100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O20" s="82"/>
    </row>
    <row r="21" spans="3:15" x14ac:dyDescent="0.35">
      <c r="C21" s="8" t="s">
        <v>365</v>
      </c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</row>
    <row r="22" spans="3:15" x14ac:dyDescent="0.35">
      <c r="C22" s="2" t="s">
        <v>366</v>
      </c>
      <c r="D22" s="30">
        <v>0.64</v>
      </c>
      <c r="E22" s="30">
        <v>0.64</v>
      </c>
      <c r="F22" s="30">
        <v>0.63</v>
      </c>
      <c r="G22" s="30">
        <v>0.63</v>
      </c>
      <c r="H22" s="30">
        <v>0.63</v>
      </c>
      <c r="I22" s="30">
        <v>0.62</v>
      </c>
      <c r="J22" s="30">
        <v>0.62</v>
      </c>
      <c r="K22" s="30">
        <v>0.6</v>
      </c>
      <c r="L22" s="30">
        <v>0.6</v>
      </c>
      <c r="M22" s="30">
        <v>0.6</v>
      </c>
      <c r="N22" s="30"/>
      <c r="O22" s="23" t="s">
        <v>367</v>
      </c>
    </row>
    <row r="23" spans="3:15" x14ac:dyDescent="0.35">
      <c r="C23" s="2" t="s">
        <v>368</v>
      </c>
      <c r="D23" s="30">
        <v>0.12</v>
      </c>
      <c r="E23" s="30">
        <v>0.11700000000000001</v>
      </c>
      <c r="F23" s="30">
        <v>0.114</v>
      </c>
      <c r="G23" s="30">
        <v>0.112</v>
      </c>
      <c r="H23" s="30">
        <v>0.11</v>
      </c>
      <c r="I23" s="30">
        <v>0.1</v>
      </c>
      <c r="J23" s="30">
        <v>0.1</v>
      </c>
      <c r="K23" s="30">
        <v>0.1</v>
      </c>
      <c r="L23" s="30">
        <v>0.1</v>
      </c>
      <c r="M23" s="30">
        <v>0.1</v>
      </c>
      <c r="N23" s="30"/>
      <c r="O23" s="23" t="s">
        <v>369</v>
      </c>
    </row>
    <row r="24" spans="3:15" x14ac:dyDescent="0.35">
      <c r="C24" s="2" t="s">
        <v>370</v>
      </c>
      <c r="D24" s="102"/>
      <c r="E24" s="102">
        <v>50</v>
      </c>
      <c r="F24" s="102"/>
      <c r="G24" s="102"/>
      <c r="H24" s="102"/>
      <c r="I24" s="102"/>
      <c r="J24" s="102"/>
      <c r="K24" s="102"/>
      <c r="L24" s="102"/>
      <c r="M24" s="102"/>
      <c r="N24" s="30"/>
      <c r="O24" s="23" t="s">
        <v>462</v>
      </c>
    </row>
    <row r="25" spans="3:15" x14ac:dyDescent="0.35">
      <c r="C25" s="2" t="s">
        <v>470</v>
      </c>
      <c r="D25" s="30">
        <f>'Ratio Analysis'!$I$44</f>
        <v>3.2232188931498332E-2</v>
      </c>
      <c r="E25" s="30">
        <f>'Ratio Analysis'!$I$44</f>
        <v>3.2232188931498332E-2</v>
      </c>
      <c r="F25" s="30">
        <f>'Ratio Analysis'!$I$44</f>
        <v>3.2232188931498332E-2</v>
      </c>
      <c r="G25" s="30">
        <f>'Ratio Analysis'!$I$44</f>
        <v>3.2232188931498332E-2</v>
      </c>
      <c r="H25" s="30">
        <f>'Ratio Analysis'!$I$44</f>
        <v>3.2232188931498332E-2</v>
      </c>
      <c r="I25" s="30">
        <f>'Ratio Analysis'!$I$44</f>
        <v>3.2232188931498332E-2</v>
      </c>
      <c r="J25" s="30">
        <f>'Ratio Analysis'!$I$44</f>
        <v>3.2232188931498332E-2</v>
      </c>
      <c r="K25" s="30">
        <f>'Ratio Analysis'!$I$44</f>
        <v>3.2232188931498332E-2</v>
      </c>
      <c r="L25" s="30">
        <f>'Ratio Analysis'!$I$44</f>
        <v>3.2232188931498332E-2</v>
      </c>
      <c r="M25" s="30">
        <f>'Ratio Analysis'!$I$44</f>
        <v>3.2232188931498332E-2</v>
      </c>
      <c r="O25" s="23" t="s">
        <v>223</v>
      </c>
    </row>
    <row r="26" spans="3:15" x14ac:dyDescent="0.35">
      <c r="C26" s="2" t="s">
        <v>224</v>
      </c>
      <c r="D26" s="30">
        <f>D42</f>
        <v>0</v>
      </c>
      <c r="E26" s="30">
        <f>D43</f>
        <v>0</v>
      </c>
      <c r="F26" s="30">
        <f>D44</f>
        <v>0</v>
      </c>
      <c r="G26" s="30">
        <f>D45</f>
        <v>6.7500000000000004E-2</v>
      </c>
      <c r="H26" s="30">
        <f>D46</f>
        <v>6.7500000000000004E-2</v>
      </c>
      <c r="I26" s="30">
        <f>H26</f>
        <v>6.7500000000000004E-2</v>
      </c>
      <c r="J26" s="30">
        <f>D48</f>
        <v>0.22500000000000001</v>
      </c>
      <c r="K26" s="30">
        <f t="shared" ref="K26:M26" si="0">J26</f>
        <v>0.22500000000000001</v>
      </c>
      <c r="L26" s="30">
        <f t="shared" si="0"/>
        <v>0.22500000000000001</v>
      </c>
      <c r="M26" s="30">
        <f t="shared" si="0"/>
        <v>0.22500000000000001</v>
      </c>
      <c r="N26" s="30"/>
      <c r="O26" s="23" t="s">
        <v>226</v>
      </c>
    </row>
    <row r="28" spans="3:15" x14ac:dyDescent="0.35">
      <c r="C28" s="8" t="s">
        <v>371</v>
      </c>
    </row>
    <row r="29" spans="3:15" x14ac:dyDescent="0.35">
      <c r="C29" s="2" t="s">
        <v>204</v>
      </c>
      <c r="D29" s="30">
        <f>'Ratio Analysis'!$I$45</f>
        <v>7.8610096086960637E-2</v>
      </c>
      <c r="E29" s="30">
        <f>'Ratio Analysis'!$I$45</f>
        <v>7.8610096086960637E-2</v>
      </c>
      <c r="F29" s="30">
        <f>'Ratio Analysis'!$I$45</f>
        <v>7.8610096086960637E-2</v>
      </c>
      <c r="G29" s="30">
        <f>'Ratio Analysis'!$I$45</f>
        <v>7.8610096086960637E-2</v>
      </c>
      <c r="H29" s="30">
        <f>'Ratio Analysis'!$I$45</f>
        <v>7.8610096086960637E-2</v>
      </c>
      <c r="I29" s="30">
        <f>'Ratio Analysis'!$I$45</f>
        <v>7.8610096086960637E-2</v>
      </c>
      <c r="J29" s="30">
        <f>'Ratio Analysis'!$I$45</f>
        <v>7.8610096086960637E-2</v>
      </c>
      <c r="K29" s="30">
        <f>'Ratio Analysis'!$I$45</f>
        <v>7.8610096086960637E-2</v>
      </c>
      <c r="L29" s="30">
        <f>'Ratio Analysis'!$I$45</f>
        <v>7.8610096086960637E-2</v>
      </c>
      <c r="M29" s="30">
        <f>'Ratio Analysis'!$I$45</f>
        <v>7.8610096086960637E-2</v>
      </c>
      <c r="N29" s="30"/>
      <c r="O29" s="23" t="s">
        <v>463</v>
      </c>
    </row>
    <row r="30" spans="3:15" x14ac:dyDescent="0.35"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</row>
    <row r="31" spans="3:15" x14ac:dyDescent="0.35">
      <c r="C31" s="8" t="s">
        <v>372</v>
      </c>
      <c r="D31" s="102">
        <v>113.66</v>
      </c>
      <c r="E31" s="102">
        <v>0</v>
      </c>
      <c r="F31" s="102">
        <v>0</v>
      </c>
      <c r="G31" s="102">
        <v>0</v>
      </c>
      <c r="H31" s="102">
        <v>0</v>
      </c>
      <c r="I31" s="102">
        <v>0</v>
      </c>
      <c r="J31" s="102">
        <v>0</v>
      </c>
      <c r="K31" s="102">
        <v>0</v>
      </c>
      <c r="L31" s="102">
        <v>0</v>
      </c>
      <c r="M31" s="102">
        <v>0</v>
      </c>
      <c r="N31" s="30"/>
      <c r="O31" s="23" t="s">
        <v>373</v>
      </c>
    </row>
    <row r="32" spans="3:15" x14ac:dyDescent="0.35">
      <c r="C32" s="2" t="s">
        <v>374</v>
      </c>
      <c r="D32" s="30">
        <f t="shared" ref="D32:M32" si="1">$D$54</f>
        <v>0.1192</v>
      </c>
      <c r="E32" s="30">
        <f t="shared" si="1"/>
        <v>0.1192</v>
      </c>
      <c r="F32" s="30">
        <f t="shared" si="1"/>
        <v>0.1192</v>
      </c>
      <c r="G32" s="30">
        <f t="shared" si="1"/>
        <v>0.1192</v>
      </c>
      <c r="H32" s="30">
        <f t="shared" si="1"/>
        <v>0.1192</v>
      </c>
      <c r="I32" s="30">
        <f t="shared" si="1"/>
        <v>0.1192</v>
      </c>
      <c r="J32" s="30">
        <f t="shared" si="1"/>
        <v>0.1192</v>
      </c>
      <c r="K32" s="30">
        <f t="shared" si="1"/>
        <v>0.1192</v>
      </c>
      <c r="L32" s="30">
        <f t="shared" si="1"/>
        <v>0.1192</v>
      </c>
      <c r="M32" s="30">
        <f t="shared" si="1"/>
        <v>0.1192</v>
      </c>
      <c r="N32" s="30"/>
      <c r="O32" s="23" t="s">
        <v>375</v>
      </c>
    </row>
    <row r="33" spans="3:15" x14ac:dyDescent="0.35">
      <c r="C33" s="2" t="s">
        <v>376</v>
      </c>
      <c r="D33" s="30">
        <v>0.4</v>
      </c>
      <c r="E33" s="30">
        <v>0.4</v>
      </c>
      <c r="F33" s="30">
        <v>0.4</v>
      </c>
      <c r="G33" s="30">
        <v>0.4</v>
      </c>
      <c r="H33" s="30">
        <v>0.4</v>
      </c>
      <c r="I33" s="30">
        <v>0.4</v>
      </c>
      <c r="J33" s="30">
        <v>0.4</v>
      </c>
      <c r="K33" s="30">
        <v>0.4</v>
      </c>
      <c r="L33" s="30">
        <v>0.4</v>
      </c>
      <c r="M33" s="30">
        <v>0.4</v>
      </c>
      <c r="N33" s="30"/>
      <c r="O33" s="23" t="s">
        <v>377</v>
      </c>
    </row>
    <row r="34" spans="3:15" x14ac:dyDescent="0.35"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</row>
    <row r="35" spans="3:15" x14ac:dyDescent="0.35">
      <c r="C35" s="2" t="s">
        <v>544</v>
      </c>
      <c r="D35" s="41">
        <v>0.1042</v>
      </c>
      <c r="O35" s="23" t="s">
        <v>543</v>
      </c>
    </row>
    <row r="36" spans="3:15" x14ac:dyDescent="0.35">
      <c r="C36" s="2" t="s">
        <v>557</v>
      </c>
      <c r="D36" s="41">
        <v>8.1370487408044728E-2</v>
      </c>
      <c r="O36" s="23" t="s">
        <v>558</v>
      </c>
    </row>
    <row r="37" spans="3:15" x14ac:dyDescent="0.35">
      <c r="C37" s="2" t="s">
        <v>559</v>
      </c>
      <c r="D37" s="41">
        <v>0.1235</v>
      </c>
      <c r="O37" s="23" t="s">
        <v>558</v>
      </c>
    </row>
    <row r="38" spans="3:15" x14ac:dyDescent="0.35">
      <c r="C38" s="2" t="s">
        <v>560</v>
      </c>
      <c r="D38" s="41">
        <v>0.04</v>
      </c>
      <c r="I38" s="41"/>
      <c r="J38" s="41"/>
      <c r="K38" s="41"/>
      <c r="L38" s="41"/>
      <c r="M38" s="41"/>
      <c r="N38" s="41"/>
      <c r="O38" s="23" t="s">
        <v>205</v>
      </c>
    </row>
    <row r="40" spans="3:15" x14ac:dyDescent="0.35">
      <c r="C40" s="32" t="s">
        <v>225</v>
      </c>
    </row>
    <row r="41" spans="3:15" s="25" customFormat="1" ht="29" x14ac:dyDescent="0.35">
      <c r="C41" s="100" t="s">
        <v>172</v>
      </c>
      <c r="D41" s="100" t="s">
        <v>196</v>
      </c>
      <c r="E41" s="103" t="s">
        <v>197</v>
      </c>
      <c r="F41" s="82"/>
      <c r="G41" s="82"/>
      <c r="H41" s="26"/>
      <c r="I41" s="26"/>
      <c r="J41" s="26"/>
      <c r="K41" s="26"/>
      <c r="L41" s="26"/>
      <c r="M41" s="26"/>
      <c r="N41" s="26"/>
      <c r="O41" s="104"/>
    </row>
    <row r="42" spans="3:15" x14ac:dyDescent="0.35">
      <c r="C42" s="2" t="s">
        <v>174</v>
      </c>
      <c r="D42" s="30">
        <v>0</v>
      </c>
      <c r="E42" s="2" t="s">
        <v>378</v>
      </c>
    </row>
    <row r="43" spans="3:15" x14ac:dyDescent="0.35">
      <c r="C43" s="2" t="s">
        <v>175</v>
      </c>
      <c r="D43" s="30">
        <v>0</v>
      </c>
      <c r="E43" s="2" t="s">
        <v>378</v>
      </c>
    </row>
    <row r="44" spans="3:15" x14ac:dyDescent="0.35">
      <c r="C44" s="2" t="s">
        <v>176</v>
      </c>
      <c r="D44" s="30">
        <v>0</v>
      </c>
      <c r="E44" s="2" t="s">
        <v>378</v>
      </c>
    </row>
    <row r="45" spans="3:15" x14ac:dyDescent="0.35">
      <c r="C45" s="2" t="s">
        <v>177</v>
      </c>
      <c r="D45" s="30">
        <v>6.7500000000000004E-2</v>
      </c>
      <c r="E45" s="2" t="s">
        <v>379</v>
      </c>
    </row>
    <row r="46" spans="3:15" x14ac:dyDescent="0.35">
      <c r="C46" s="2" t="s">
        <v>380</v>
      </c>
      <c r="D46" s="30">
        <v>6.7500000000000004E-2</v>
      </c>
      <c r="E46" s="2" t="s">
        <v>381</v>
      </c>
    </row>
    <row r="47" spans="3:15" x14ac:dyDescent="0.35">
      <c r="C47" s="2" t="s">
        <v>382</v>
      </c>
      <c r="D47" s="30">
        <v>6.7500000000000004E-2</v>
      </c>
      <c r="E47" s="2" t="s">
        <v>381</v>
      </c>
    </row>
    <row r="48" spans="3:15" x14ac:dyDescent="0.35">
      <c r="C48" s="2" t="s">
        <v>383</v>
      </c>
      <c r="D48" s="30">
        <v>0.22500000000000001</v>
      </c>
      <c r="E48" s="2" t="s">
        <v>384</v>
      </c>
    </row>
    <row r="50" spans="3:4" x14ac:dyDescent="0.35">
      <c r="C50" s="32" t="s">
        <v>229</v>
      </c>
    </row>
    <row r="51" spans="3:4" x14ac:dyDescent="0.35">
      <c r="C51" s="2" t="s">
        <v>227</v>
      </c>
    </row>
    <row r="52" spans="3:4" x14ac:dyDescent="0.35">
      <c r="C52" s="2" t="s">
        <v>546</v>
      </c>
      <c r="D52" s="41">
        <f>D35</f>
        <v>0.1042</v>
      </c>
    </row>
    <row r="53" spans="3:4" x14ac:dyDescent="0.35">
      <c r="C53" s="2" t="s">
        <v>228</v>
      </c>
      <c r="D53" s="41">
        <v>1.4999999999999999E-2</v>
      </c>
    </row>
    <row r="54" spans="3:4" x14ac:dyDescent="0.35">
      <c r="C54" s="18" t="s">
        <v>145</v>
      </c>
      <c r="D54" s="105">
        <f>SUM(D52:D53)</f>
        <v>0.1192</v>
      </c>
    </row>
  </sheetData>
  <pageMargins left="0.7" right="0.7" top="0.75" bottom="0.75" header="0.3" footer="0.3"/>
  <ignoredErrors>
    <ignoredError sqref="J2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7756B-0448-43A9-BB81-24DB730D5731}">
  <dimension ref="B2:W224"/>
  <sheetViews>
    <sheetView showGridLines="0" topLeftCell="B1" zoomScaleNormal="100" workbookViewId="0">
      <selection activeCell="E2" sqref="E2"/>
    </sheetView>
  </sheetViews>
  <sheetFormatPr defaultColWidth="8.7265625" defaultRowHeight="14.5" x14ac:dyDescent="0.35"/>
  <cols>
    <col min="1" max="1" width="2.1796875" style="2" customWidth="1"/>
    <col min="2" max="2" width="39.81640625" style="3" customWidth="1"/>
    <col min="3" max="3" width="28.54296875" style="2" customWidth="1"/>
    <col min="4" max="4" width="15.54296875" style="2" bestFit="1" customWidth="1"/>
    <col min="5" max="6" width="17" style="2" bestFit="1" customWidth="1"/>
    <col min="7" max="7" width="15.54296875" style="2" bestFit="1" customWidth="1"/>
    <col min="8" max="8" width="17" style="2" bestFit="1" customWidth="1"/>
    <col min="9" max="9" width="17.54296875" style="2" bestFit="1" customWidth="1"/>
    <col min="10" max="10" width="16.54296875" style="2" bestFit="1" customWidth="1"/>
    <col min="11" max="11" width="17.54296875" style="2" bestFit="1" customWidth="1"/>
    <col min="12" max="12" width="15.81640625" style="2" customWidth="1"/>
    <col min="13" max="13" width="16.54296875" style="2" bestFit="1" customWidth="1"/>
    <col min="14" max="14" width="17.54296875" style="2" customWidth="1"/>
    <col min="15" max="15" width="15.453125" style="2" customWidth="1"/>
    <col min="16" max="16" width="16.54296875" style="2" bestFit="1" customWidth="1"/>
    <col min="17" max="17" width="17.54296875" style="2" bestFit="1" customWidth="1"/>
    <col min="18" max="18" width="15.1796875" style="2" customWidth="1"/>
    <col min="19" max="19" width="12.54296875" style="2" bestFit="1" customWidth="1"/>
    <col min="20" max="20" width="17.54296875" style="2" bestFit="1" customWidth="1"/>
    <col min="21" max="21" width="15.81640625" style="2" customWidth="1"/>
    <col min="22" max="22" width="12.1796875" style="2" customWidth="1"/>
    <col min="23" max="23" width="17.54296875" style="2" bestFit="1" customWidth="1"/>
    <col min="24" max="16384" width="8.7265625" style="2"/>
  </cols>
  <sheetData>
    <row r="2" spans="2:9" x14ac:dyDescent="0.35">
      <c r="B2" s="56" t="s">
        <v>100</v>
      </c>
      <c r="C2" s="57" t="s">
        <v>94</v>
      </c>
      <c r="F2" s="1"/>
      <c r="G2" s="8"/>
    </row>
    <row r="3" spans="2:9" x14ac:dyDescent="0.35">
      <c r="B3" s="58" t="s">
        <v>124</v>
      </c>
      <c r="C3" s="59" t="s">
        <v>95</v>
      </c>
      <c r="F3" s="3"/>
    </row>
    <row r="4" spans="2:9" x14ac:dyDescent="0.35">
      <c r="B4" s="60" t="s">
        <v>125</v>
      </c>
      <c r="C4" s="59" t="s">
        <v>126</v>
      </c>
      <c r="F4" s="3"/>
    </row>
    <row r="5" spans="2:9" x14ac:dyDescent="0.35">
      <c r="B5" s="60" t="s">
        <v>127</v>
      </c>
      <c r="C5" s="59" t="s">
        <v>128</v>
      </c>
      <c r="F5" s="3"/>
      <c r="G5" s="19"/>
    </row>
    <row r="6" spans="2:9" x14ac:dyDescent="0.35">
      <c r="B6" s="60" t="s">
        <v>129</v>
      </c>
      <c r="C6" s="59" t="s">
        <v>130</v>
      </c>
      <c r="F6" s="3"/>
      <c r="G6" s="20"/>
    </row>
    <row r="7" spans="2:9" x14ac:dyDescent="0.35">
      <c r="B7" s="60" t="s">
        <v>123</v>
      </c>
      <c r="C7" s="59">
        <v>10</v>
      </c>
      <c r="F7" s="3"/>
      <c r="G7" s="20"/>
    </row>
    <row r="8" spans="2:9" x14ac:dyDescent="0.35">
      <c r="B8" s="58" t="s">
        <v>538</v>
      </c>
      <c r="C8" s="59">
        <v>376.6</v>
      </c>
      <c r="F8" s="3"/>
      <c r="G8" s="20"/>
    </row>
    <row r="9" spans="2:9" x14ac:dyDescent="0.35">
      <c r="B9" s="60" t="s">
        <v>536</v>
      </c>
      <c r="C9" s="59">
        <v>126057.571</v>
      </c>
      <c r="F9" s="3"/>
      <c r="G9" s="21"/>
    </row>
    <row r="10" spans="2:9" x14ac:dyDescent="0.35">
      <c r="B10" s="61" t="s">
        <v>537</v>
      </c>
      <c r="C10" s="62">
        <v>333221177</v>
      </c>
    </row>
    <row r="11" spans="2:9" x14ac:dyDescent="0.35">
      <c r="C11" s="19"/>
    </row>
    <row r="12" spans="2:9" x14ac:dyDescent="0.35">
      <c r="B12" s="1" t="s">
        <v>0</v>
      </c>
    </row>
    <row r="13" spans="2:9" x14ac:dyDescent="0.35">
      <c r="B13" s="68" t="s">
        <v>1</v>
      </c>
      <c r="C13" s="63">
        <v>2019</v>
      </c>
      <c r="D13" s="63">
        <v>2020</v>
      </c>
      <c r="E13" s="63">
        <v>2021</v>
      </c>
      <c r="F13" s="63">
        <v>2022</v>
      </c>
      <c r="G13" s="63">
        <v>2023</v>
      </c>
      <c r="H13" s="63">
        <v>2024</v>
      </c>
      <c r="I13" s="63">
        <v>2025</v>
      </c>
    </row>
    <row r="14" spans="2:9" x14ac:dyDescent="0.35">
      <c r="B14" s="3" t="s">
        <v>121</v>
      </c>
      <c r="C14" s="4">
        <v>51773237116</v>
      </c>
      <c r="D14" s="4">
        <v>41079248267</v>
      </c>
      <c r="E14" s="4">
        <v>69949925813</v>
      </c>
      <c r="F14" s="4">
        <v>81681681284</v>
      </c>
      <c r="G14" s="4">
        <v>66374271405</v>
      </c>
      <c r="H14" s="4">
        <v>75121154616</v>
      </c>
      <c r="I14" s="4">
        <v>70822475704</v>
      </c>
    </row>
    <row r="15" spans="2:9" x14ac:dyDescent="0.35">
      <c r="B15" s="3" t="s">
        <v>120</v>
      </c>
      <c r="C15" s="4">
        <v>25277241920</v>
      </c>
      <c r="D15" s="4">
        <v>27803538581</v>
      </c>
      <c r="E15" s="4">
        <v>34270695635</v>
      </c>
      <c r="F15" s="4">
        <v>54876142790</v>
      </c>
      <c r="G15" s="4">
        <v>27467893812</v>
      </c>
      <c r="H15" s="4">
        <v>35248800151</v>
      </c>
      <c r="I15" s="4">
        <v>40996136389</v>
      </c>
    </row>
    <row r="16" spans="2:9" x14ac:dyDescent="0.35">
      <c r="B16" s="3" t="s">
        <v>93</v>
      </c>
      <c r="C16" s="4">
        <v>30805628408</v>
      </c>
      <c r="D16" s="4">
        <v>25423508810</v>
      </c>
      <c r="E16" s="4">
        <v>43515489526</v>
      </c>
      <c r="F16" s="4">
        <v>55146823463</v>
      </c>
      <c r="G16" s="4">
        <v>43022875679</v>
      </c>
      <c r="H16" s="4">
        <v>46473228347</v>
      </c>
      <c r="I16" s="4">
        <v>45291678432</v>
      </c>
    </row>
    <row r="17" spans="2:13" x14ac:dyDescent="0.35">
      <c r="B17" s="1" t="s">
        <v>2</v>
      </c>
      <c r="C17" s="5">
        <v>20967608708</v>
      </c>
      <c r="D17" s="5">
        <v>15655739458</v>
      </c>
      <c r="E17" s="5">
        <v>26434436287</v>
      </c>
      <c r="F17" s="5">
        <v>26534857821</v>
      </c>
      <c r="G17" s="5">
        <v>23351395726</v>
      </c>
      <c r="H17" s="5">
        <v>28647926269</v>
      </c>
      <c r="I17" s="5">
        <v>25530797272</v>
      </c>
      <c r="J17" s="4"/>
    </row>
    <row r="18" spans="2:13" x14ac:dyDescent="0.35">
      <c r="B18" s="1" t="s">
        <v>3</v>
      </c>
      <c r="C18" s="5">
        <v>4067567881</v>
      </c>
      <c r="D18" s="5">
        <v>4652465206</v>
      </c>
      <c r="E18" s="5">
        <v>7089112340</v>
      </c>
      <c r="F18" s="5">
        <v>9184521666</v>
      </c>
      <c r="G18" s="5">
        <v>7782901962</v>
      </c>
      <c r="H18" s="5">
        <v>9850900444</v>
      </c>
      <c r="I18" s="5">
        <v>10709513504</v>
      </c>
    </row>
    <row r="19" spans="2:13" x14ac:dyDescent="0.35">
      <c r="B19" s="3" t="s">
        <v>4</v>
      </c>
      <c r="C19" s="4">
        <v>3239850530</v>
      </c>
      <c r="D19" s="4">
        <v>3602364329</v>
      </c>
      <c r="E19" s="4">
        <v>6004705364</v>
      </c>
      <c r="F19" s="4">
        <v>7795190297</v>
      </c>
      <c r="G19" s="4">
        <v>6409291118</v>
      </c>
      <c r="H19" s="4">
        <v>8293518089</v>
      </c>
      <c r="I19" s="4">
        <v>9014387103</v>
      </c>
    </row>
    <row r="20" spans="2:13" x14ac:dyDescent="0.35">
      <c r="B20" s="3" t="s">
        <v>5</v>
      </c>
      <c r="C20" s="4">
        <v>827617351</v>
      </c>
      <c r="D20" s="4">
        <v>1050100877</v>
      </c>
      <c r="E20" s="4">
        <v>1084406976</v>
      </c>
      <c r="F20" s="4">
        <v>1389331369</v>
      </c>
      <c r="G20" s="4">
        <v>1373610844</v>
      </c>
      <c r="H20" s="4">
        <v>1557382355</v>
      </c>
      <c r="I20" s="4">
        <v>1695126401</v>
      </c>
    </row>
    <row r="21" spans="2:13" x14ac:dyDescent="0.35">
      <c r="B21" s="3" t="s">
        <v>105</v>
      </c>
      <c r="C21" s="4">
        <v>1331810588</v>
      </c>
      <c r="D21" s="4">
        <v>1541134096</v>
      </c>
      <c r="E21" s="4">
        <v>1676106067</v>
      </c>
      <c r="F21" s="4">
        <v>1924661890</v>
      </c>
      <c r="G21" s="4">
        <v>2141649331</v>
      </c>
      <c r="H21" s="4">
        <v>2508935876</v>
      </c>
      <c r="I21" s="4">
        <v>2952947737</v>
      </c>
    </row>
    <row r="22" spans="2:13" x14ac:dyDescent="0.35">
      <c r="B22" s="3" t="s">
        <v>116</v>
      </c>
      <c r="C22" s="4">
        <v>18065970</v>
      </c>
      <c r="D22" s="4">
        <v>16341394</v>
      </c>
      <c r="E22" s="4">
        <v>11509797</v>
      </c>
      <c r="F22" s="4">
        <v>3946229</v>
      </c>
      <c r="G22" s="4">
        <v>5325234</v>
      </c>
      <c r="H22" s="4">
        <v>7022841</v>
      </c>
      <c r="I22" s="4">
        <v>7863317</v>
      </c>
    </row>
    <row r="23" spans="2:13" x14ac:dyDescent="0.35">
      <c r="B23" s="1" t="s">
        <v>6</v>
      </c>
      <c r="C23" s="5">
        <v>16900040827</v>
      </c>
      <c r="D23" s="5">
        <v>11003274252</v>
      </c>
      <c r="E23" s="5">
        <v>19345323947</v>
      </c>
      <c r="F23" s="5">
        <v>17350336155</v>
      </c>
      <c r="G23" s="5">
        <v>15571493764</v>
      </c>
      <c r="H23" s="5">
        <v>18797025825</v>
      </c>
      <c r="I23" s="5">
        <v>14821283768</v>
      </c>
      <c r="J23" s="4"/>
    </row>
    <row r="24" spans="2:13" x14ac:dyDescent="0.35">
      <c r="B24" s="3" t="s">
        <v>7</v>
      </c>
      <c r="C24" s="4" t="s">
        <v>8</v>
      </c>
      <c r="D24" s="4" t="s">
        <v>8</v>
      </c>
      <c r="E24" s="4">
        <v>84330796</v>
      </c>
      <c r="F24" s="4">
        <v>79765294</v>
      </c>
      <c r="G24" s="4" t="s">
        <v>8</v>
      </c>
      <c r="H24" s="4" t="s">
        <v>8</v>
      </c>
      <c r="I24" s="4"/>
    </row>
    <row r="25" spans="2:13" x14ac:dyDescent="0.35">
      <c r="B25" s="3" t="s">
        <v>9</v>
      </c>
      <c r="C25" s="4">
        <v>98108941</v>
      </c>
      <c r="D25" s="4">
        <v>-13131240</v>
      </c>
      <c r="E25" s="4">
        <v>511456412</v>
      </c>
      <c r="F25" s="4">
        <v>270571805</v>
      </c>
      <c r="G25" s="4">
        <v>201930120</v>
      </c>
      <c r="H25" s="4">
        <v>-94598252</v>
      </c>
      <c r="I25" s="4">
        <v>266614954</v>
      </c>
      <c r="M25" s="7"/>
    </row>
    <row r="26" spans="2:13" x14ac:dyDescent="0.35">
      <c r="B26" s="3" t="s">
        <v>10</v>
      </c>
      <c r="C26" s="4" t="s">
        <v>8</v>
      </c>
      <c r="D26" s="4" t="s">
        <v>8</v>
      </c>
      <c r="E26" s="4" t="s">
        <v>8</v>
      </c>
      <c r="F26" s="4" t="s">
        <v>8</v>
      </c>
      <c r="G26" s="4">
        <v>32175044</v>
      </c>
      <c r="H26" s="4">
        <v>171221879</v>
      </c>
      <c r="I26" s="4">
        <v>290334678</v>
      </c>
      <c r="K26" s="7"/>
    </row>
    <row r="27" spans="2:13" x14ac:dyDescent="0.35">
      <c r="B27" s="3" t="s">
        <v>11</v>
      </c>
      <c r="C27" s="4">
        <v>1493855820</v>
      </c>
      <c r="D27" s="4">
        <v>2243549865</v>
      </c>
      <c r="E27" s="4">
        <v>1245679758</v>
      </c>
      <c r="F27" s="4">
        <v>4738325106</v>
      </c>
      <c r="G27" s="4">
        <v>7535855991</v>
      </c>
      <c r="H27" s="4">
        <v>4591235836</v>
      </c>
      <c r="I27" s="4">
        <v>4484038732</v>
      </c>
    </row>
    <row r="28" spans="2:13" x14ac:dyDescent="0.35">
      <c r="B28" s="1" t="s">
        <v>132</v>
      </c>
      <c r="C28" s="5">
        <v>15504373948</v>
      </c>
      <c r="D28" s="5">
        <v>8746593145</v>
      </c>
      <c r="E28" s="5">
        <v>18695434397</v>
      </c>
      <c r="F28" s="5">
        <v>12962348148</v>
      </c>
      <c r="G28" s="5">
        <v>8269742937</v>
      </c>
      <c r="H28" s="5">
        <v>14282421616</v>
      </c>
      <c r="I28" s="5">
        <v>10894194667</v>
      </c>
      <c r="J28" s="4"/>
    </row>
    <row r="29" spans="2:13" x14ac:dyDescent="0.35">
      <c r="B29" s="3" t="s">
        <v>133</v>
      </c>
      <c r="C29" s="4">
        <v>738303521</v>
      </c>
      <c r="D29" s="4">
        <v>416504436</v>
      </c>
      <c r="E29" s="4">
        <v>890258781</v>
      </c>
      <c r="F29" s="4">
        <v>617254674</v>
      </c>
      <c r="G29" s="4">
        <v>393654464</v>
      </c>
      <c r="H29" s="4">
        <v>680115315</v>
      </c>
      <c r="I29" s="4">
        <v>518771175</v>
      </c>
    </row>
    <row r="30" spans="2:13" x14ac:dyDescent="0.35">
      <c r="B30" s="1" t="s">
        <v>12</v>
      </c>
      <c r="C30" s="5">
        <v>14766070427</v>
      </c>
      <c r="D30" s="5">
        <v>8330088710</v>
      </c>
      <c r="E30" s="5">
        <v>17805175616</v>
      </c>
      <c r="F30" s="5">
        <v>12345093474</v>
      </c>
      <c r="G30" s="5">
        <v>7876088473</v>
      </c>
      <c r="H30" s="5">
        <v>13602306301</v>
      </c>
      <c r="I30" s="5">
        <v>10375423492</v>
      </c>
      <c r="J30" s="4"/>
    </row>
    <row r="31" spans="2:13" x14ac:dyDescent="0.35">
      <c r="B31" s="1" t="s">
        <v>13</v>
      </c>
      <c r="C31" s="5">
        <v>-1004931824</v>
      </c>
      <c r="D31" s="5">
        <v>-1065594991</v>
      </c>
      <c r="E31" s="5">
        <v>-1413136905</v>
      </c>
      <c r="F31" s="5">
        <v>-178942918</v>
      </c>
      <c r="G31" s="5">
        <v>-46309266</v>
      </c>
      <c r="H31" s="5">
        <v>-37046974</v>
      </c>
      <c r="I31" s="5">
        <v>-9263129</v>
      </c>
    </row>
    <row r="32" spans="2:13" x14ac:dyDescent="0.35">
      <c r="B32" s="3" t="s">
        <v>14</v>
      </c>
      <c r="C32" s="4">
        <v>848151353</v>
      </c>
      <c r="D32" s="4">
        <v>-744892973</v>
      </c>
      <c r="E32" s="4">
        <v>-2154739525</v>
      </c>
      <c r="F32" s="4">
        <v>-65269058</v>
      </c>
      <c r="G32" s="4">
        <v>-47752505</v>
      </c>
      <c r="H32" s="4">
        <v>-57026659</v>
      </c>
      <c r="I32" s="4">
        <v>-10227195</v>
      </c>
    </row>
    <row r="33" spans="2:10" x14ac:dyDescent="0.35">
      <c r="B33" s="3" t="s">
        <v>15</v>
      </c>
      <c r="C33" s="4">
        <v>156780471</v>
      </c>
      <c r="D33" s="4">
        <v>-320702019</v>
      </c>
      <c r="E33" s="4">
        <v>741602620</v>
      </c>
      <c r="F33" s="4">
        <v>-113673860</v>
      </c>
      <c r="G33" s="4">
        <v>1443239</v>
      </c>
      <c r="H33" s="4">
        <v>19979685</v>
      </c>
      <c r="I33" s="4">
        <v>964067</v>
      </c>
    </row>
    <row r="34" spans="2:10" x14ac:dyDescent="0.35">
      <c r="B34" s="1" t="s">
        <v>16</v>
      </c>
      <c r="C34" s="5">
        <v>13761138603</v>
      </c>
      <c r="D34" s="5">
        <v>7264493719</v>
      </c>
      <c r="E34" s="5">
        <v>16392038712</v>
      </c>
      <c r="F34" s="5">
        <v>12166150557</v>
      </c>
      <c r="G34" s="5">
        <v>7826780005</v>
      </c>
      <c r="H34" s="5">
        <v>13565259327</v>
      </c>
      <c r="I34" s="5">
        <v>10366160364</v>
      </c>
      <c r="J34" s="4"/>
    </row>
    <row r="35" spans="2:10" x14ac:dyDescent="0.35">
      <c r="B35" s="3" t="s">
        <v>17</v>
      </c>
      <c r="C35" s="6">
        <v>45.67</v>
      </c>
      <c r="D35" s="6">
        <v>24.21</v>
      </c>
      <c r="E35" s="6">
        <v>54.11</v>
      </c>
      <c r="F35" s="6">
        <v>40.159999999999997</v>
      </c>
      <c r="G35" s="6">
        <v>25.84</v>
      </c>
      <c r="H35" s="6">
        <v>44.78</v>
      </c>
      <c r="I35" s="6">
        <v>34.22</v>
      </c>
    </row>
    <row r="36" spans="2:10" x14ac:dyDescent="0.35">
      <c r="C36" s="6"/>
      <c r="D36" s="6"/>
      <c r="E36" s="6"/>
      <c r="F36" s="6"/>
      <c r="G36" s="6"/>
      <c r="H36" s="6"/>
      <c r="I36" s="6"/>
    </row>
    <row r="37" spans="2:10" x14ac:dyDescent="0.35">
      <c r="C37" s="6"/>
      <c r="D37" s="6"/>
      <c r="E37" s="6"/>
      <c r="F37" s="6"/>
      <c r="G37" s="6"/>
      <c r="H37" s="6"/>
    </row>
    <row r="38" spans="2:10" x14ac:dyDescent="0.35">
      <c r="B38" s="1" t="s">
        <v>18</v>
      </c>
      <c r="C38" s="6"/>
      <c r="D38" s="6"/>
      <c r="E38" s="6"/>
      <c r="F38" s="6"/>
      <c r="G38" s="6"/>
      <c r="H38" s="6"/>
    </row>
    <row r="39" spans="2:10" x14ac:dyDescent="0.35">
      <c r="B39" s="68" t="s">
        <v>1</v>
      </c>
      <c r="C39" s="63">
        <v>2019</v>
      </c>
      <c r="D39" s="63">
        <v>2020</v>
      </c>
      <c r="E39" s="63">
        <v>2021</v>
      </c>
      <c r="F39" s="63">
        <v>2022</v>
      </c>
      <c r="G39" s="63">
        <v>2023</v>
      </c>
      <c r="H39" s="63">
        <v>2024</v>
      </c>
      <c r="I39" s="63">
        <v>2025</v>
      </c>
    </row>
    <row r="40" spans="2:10" x14ac:dyDescent="0.35">
      <c r="B40" s="3" t="s">
        <v>269</v>
      </c>
      <c r="C40" s="4">
        <v>57575574816</v>
      </c>
      <c r="D40" s="4">
        <v>59712087153</v>
      </c>
      <c r="E40" s="4">
        <v>62295280025</v>
      </c>
      <c r="F40" s="4">
        <v>65475136944</v>
      </c>
      <c r="G40" s="4">
        <v>68824874693</v>
      </c>
      <c r="H40" s="4">
        <v>70863873952</v>
      </c>
      <c r="I40" s="4">
        <v>77180420324</v>
      </c>
    </row>
    <row r="41" spans="2:10" x14ac:dyDescent="0.35">
      <c r="B41" s="3" t="s">
        <v>19</v>
      </c>
      <c r="C41" s="4">
        <v>29332786</v>
      </c>
      <c r="D41" s="4">
        <v>23040791</v>
      </c>
      <c r="E41" s="4">
        <v>13362588</v>
      </c>
      <c r="F41" s="4">
        <v>13053850</v>
      </c>
      <c r="G41" s="4">
        <v>19217454</v>
      </c>
      <c r="H41" s="4">
        <v>16019226</v>
      </c>
      <c r="I41" s="4">
        <v>46082639</v>
      </c>
    </row>
    <row r="42" spans="2:10" x14ac:dyDescent="0.35">
      <c r="B42" s="3" t="s">
        <v>20</v>
      </c>
      <c r="C42" s="4" t="s">
        <v>8</v>
      </c>
      <c r="D42" s="4" t="s">
        <v>8</v>
      </c>
      <c r="E42" s="4" t="s">
        <v>8</v>
      </c>
      <c r="F42" s="4">
        <v>207685994</v>
      </c>
      <c r="G42" s="4">
        <v>213136270</v>
      </c>
      <c r="H42" s="4">
        <v>201866955</v>
      </c>
      <c r="I42" s="4">
        <v>211722011</v>
      </c>
    </row>
    <row r="43" spans="2:10" x14ac:dyDescent="0.35">
      <c r="B43" s="3" t="s">
        <v>21</v>
      </c>
      <c r="C43" s="4">
        <v>2131266850</v>
      </c>
      <c r="D43" s="4">
        <v>3771797260</v>
      </c>
      <c r="E43" s="4">
        <v>3943802332</v>
      </c>
      <c r="F43" s="4">
        <v>6446187658</v>
      </c>
      <c r="G43" s="4">
        <v>7351736250</v>
      </c>
      <c r="H43" s="4">
        <v>7437964575</v>
      </c>
      <c r="I43" s="4">
        <v>7247599337</v>
      </c>
    </row>
    <row r="44" spans="2:10" x14ac:dyDescent="0.35">
      <c r="B44" s="3" t="s">
        <v>22</v>
      </c>
      <c r="C44" s="4">
        <v>494171979</v>
      </c>
      <c r="D44" s="4">
        <v>594806302</v>
      </c>
      <c r="F44" s="4" t="s">
        <v>8</v>
      </c>
      <c r="G44" s="4" t="s">
        <v>8</v>
      </c>
      <c r="H44" s="4" t="s">
        <v>8</v>
      </c>
      <c r="I44" s="4"/>
    </row>
    <row r="45" spans="2:10" x14ac:dyDescent="0.35">
      <c r="B45" s="1" t="s">
        <v>23</v>
      </c>
      <c r="C45" s="5">
        <v>60230346423</v>
      </c>
      <c r="D45" s="5">
        <v>64101851526</v>
      </c>
      <c r="E45" s="5">
        <v>66252444945</v>
      </c>
      <c r="F45" s="5">
        <v>72142064446</v>
      </c>
      <c r="G45" s="5">
        <v>76408964667</v>
      </c>
      <c r="H45" s="5">
        <v>78519724708</v>
      </c>
      <c r="I45" s="5">
        <v>84685824311</v>
      </c>
    </row>
    <row r="46" spans="2:10" x14ac:dyDescent="0.35">
      <c r="B46" s="3" t="s">
        <v>24</v>
      </c>
      <c r="C46" s="4">
        <v>13530290769</v>
      </c>
      <c r="D46" s="4">
        <v>21833256222</v>
      </c>
      <c r="E46" s="4">
        <v>24130561864</v>
      </c>
      <c r="F46" s="153">
        <v>36197619159</v>
      </c>
      <c r="G46" s="4">
        <v>25573533341</v>
      </c>
      <c r="H46" s="4">
        <v>26182663525</v>
      </c>
      <c r="I46" s="4">
        <v>29648739753</v>
      </c>
    </row>
    <row r="47" spans="2:10" x14ac:dyDescent="0.35">
      <c r="B47" s="82" t="s">
        <v>342</v>
      </c>
      <c r="D47" s="83">
        <v>23432843592</v>
      </c>
      <c r="E47" s="83">
        <v>32828073635</v>
      </c>
      <c r="F47" s="83">
        <v>41846214575</v>
      </c>
      <c r="G47" s="83">
        <v>34608612021</v>
      </c>
      <c r="H47" s="83">
        <v>37153106717</v>
      </c>
      <c r="I47" s="83">
        <v>35562922175</v>
      </c>
    </row>
    <row r="48" spans="2:10" x14ac:dyDescent="0.35">
      <c r="B48" s="82" t="s">
        <v>343</v>
      </c>
      <c r="D48" s="83">
        <v>28119857</v>
      </c>
      <c r="E48" s="83">
        <v>53861380</v>
      </c>
      <c r="F48" s="83">
        <v>47964310</v>
      </c>
      <c r="G48" s="83">
        <v>66336365</v>
      </c>
      <c r="H48" s="83">
        <v>93522952</v>
      </c>
      <c r="I48" s="83">
        <v>503317824</v>
      </c>
    </row>
    <row r="49" spans="2:14" x14ac:dyDescent="0.35">
      <c r="B49" s="1" t="s">
        <v>25</v>
      </c>
      <c r="C49" s="5">
        <v>24478836553</v>
      </c>
      <c r="D49" s="5">
        <v>23863541822</v>
      </c>
      <c r="E49" s="5">
        <v>32881935015</v>
      </c>
      <c r="F49" s="174">
        <v>41894178885</v>
      </c>
      <c r="G49" s="5">
        <v>34674948386</v>
      </c>
      <c r="H49" s="5">
        <v>37246629669</v>
      </c>
      <c r="I49" s="5">
        <v>36066239999</v>
      </c>
    </row>
    <row r="50" spans="2:14" x14ac:dyDescent="0.35">
      <c r="B50" s="3" t="s">
        <v>26</v>
      </c>
      <c r="C50" s="4" t="s">
        <v>8</v>
      </c>
      <c r="D50" s="4" t="s">
        <v>8</v>
      </c>
      <c r="E50" s="4">
        <v>1106022865</v>
      </c>
      <c r="F50" s="153">
        <v>1186987977</v>
      </c>
      <c r="G50" s="4">
        <v>1033741904</v>
      </c>
      <c r="H50" s="4">
        <v>778283932</v>
      </c>
      <c r="I50" s="4">
        <v>365800204</v>
      </c>
    </row>
    <row r="51" spans="2:14" x14ac:dyDescent="0.35">
      <c r="B51" s="3" t="s">
        <v>27</v>
      </c>
      <c r="C51" s="4">
        <v>3574831967</v>
      </c>
      <c r="D51" s="4">
        <v>4438454103</v>
      </c>
      <c r="E51" s="4">
        <v>5008968072</v>
      </c>
      <c r="F51" s="153">
        <v>5536502855</v>
      </c>
      <c r="G51" s="4">
        <v>5517637114</v>
      </c>
      <c r="H51" s="4">
        <v>7671704651</v>
      </c>
      <c r="I51" s="4">
        <v>1486154474</v>
      </c>
      <c r="J51" s="136"/>
      <c r="K51" s="136"/>
      <c r="L51" s="136"/>
      <c r="M51" s="136"/>
      <c r="N51" s="136"/>
    </row>
    <row r="52" spans="2:14" x14ac:dyDescent="0.35">
      <c r="B52" s="3" t="s">
        <v>28</v>
      </c>
      <c r="C52" s="4">
        <v>582901194</v>
      </c>
      <c r="D52" s="4">
        <v>616911527</v>
      </c>
      <c r="E52" s="4">
        <v>1365549229</v>
      </c>
      <c r="F52" s="153">
        <v>278215010</v>
      </c>
      <c r="G52" s="4">
        <v>313513014</v>
      </c>
      <c r="H52" s="4">
        <v>305850540</v>
      </c>
      <c r="I52" s="4">
        <v>297320659</v>
      </c>
      <c r="J52" s="4"/>
      <c r="K52" s="4"/>
      <c r="L52" s="4"/>
      <c r="M52" s="4"/>
      <c r="N52" s="4"/>
    </row>
    <row r="53" spans="2:14" x14ac:dyDescent="0.35">
      <c r="B53" s="3" t="s">
        <v>29</v>
      </c>
      <c r="C53" s="4">
        <v>1029902851</v>
      </c>
      <c r="D53" s="4">
        <v>1466979290</v>
      </c>
      <c r="E53" s="4">
        <v>3703825657</v>
      </c>
      <c r="F53" s="153">
        <v>2321365628</v>
      </c>
      <c r="G53" s="4">
        <v>2417232161</v>
      </c>
      <c r="H53" s="4">
        <v>6547326350</v>
      </c>
      <c r="I53" s="4">
        <v>5065456980</v>
      </c>
    </row>
    <row r="54" spans="2:14" x14ac:dyDescent="0.35">
      <c r="B54" s="1" t="s">
        <v>30</v>
      </c>
      <c r="C54" s="5">
        <v>43197763333</v>
      </c>
      <c r="D54" s="5">
        <v>52219142964</v>
      </c>
      <c r="E54" s="5">
        <v>68196862702</v>
      </c>
      <c r="F54" s="5">
        <v>87414869514</v>
      </c>
      <c r="G54" s="5">
        <v>69530605920</v>
      </c>
      <c r="H54" s="5">
        <v>78732458667</v>
      </c>
      <c r="I54" s="5">
        <v>72929712069</v>
      </c>
    </row>
    <row r="55" spans="2:14" x14ac:dyDescent="0.35">
      <c r="B55" s="1" t="s">
        <v>31</v>
      </c>
      <c r="C55" s="5">
        <v>103428109756</v>
      </c>
      <c r="D55" s="5">
        <v>116421004490</v>
      </c>
      <c r="E55" s="5">
        <v>134449307647</v>
      </c>
      <c r="F55" s="174">
        <v>159556933960</v>
      </c>
      <c r="G55" s="5">
        <v>145939570587</v>
      </c>
      <c r="H55" s="174">
        <v>157252183375</v>
      </c>
      <c r="I55" s="5">
        <v>157615536380</v>
      </c>
    </row>
    <row r="56" spans="2:14" x14ac:dyDescent="0.35">
      <c r="B56" s="3" t="s">
        <v>140</v>
      </c>
      <c r="C56" s="4">
        <v>3000000000</v>
      </c>
      <c r="D56" s="4">
        <v>3000000000</v>
      </c>
      <c r="E56" s="4">
        <v>3029283430</v>
      </c>
      <c r="F56" s="4">
        <v>3029283430</v>
      </c>
      <c r="G56" s="4">
        <v>3029283430</v>
      </c>
      <c r="H56" s="4">
        <v>3029283430</v>
      </c>
      <c r="I56" s="4">
        <v>3029283430</v>
      </c>
    </row>
    <row r="57" spans="2:14" x14ac:dyDescent="0.35">
      <c r="B57" s="3" t="s">
        <v>32</v>
      </c>
      <c r="C57" s="4" t="s">
        <v>8</v>
      </c>
      <c r="D57" s="4" t="s">
        <v>8</v>
      </c>
      <c r="E57" s="4">
        <v>931683717</v>
      </c>
      <c r="F57" s="4">
        <v>931683717</v>
      </c>
      <c r="G57" s="4">
        <v>931683717</v>
      </c>
      <c r="H57" s="4">
        <v>931683717</v>
      </c>
      <c r="I57" s="4">
        <v>931683717</v>
      </c>
    </row>
    <row r="58" spans="2:14" x14ac:dyDescent="0.35">
      <c r="B58" s="3" t="s">
        <v>33</v>
      </c>
      <c r="C58" s="4">
        <v>31390563206</v>
      </c>
      <c r="D58" s="4">
        <v>31361505710</v>
      </c>
      <c r="E58" s="4">
        <v>31332448213</v>
      </c>
      <c r="F58" s="4">
        <v>31303390716</v>
      </c>
      <c r="G58" s="4">
        <v>30759669655</v>
      </c>
      <c r="H58" s="4">
        <v>30730612160</v>
      </c>
      <c r="I58" s="4">
        <v>33761916711</v>
      </c>
    </row>
    <row r="59" spans="2:14" x14ac:dyDescent="0.35">
      <c r="B59" s="3" t="s">
        <v>34</v>
      </c>
      <c r="C59" s="4">
        <v>38507504162</v>
      </c>
      <c r="D59" s="4">
        <v>44881055377</v>
      </c>
      <c r="E59" s="4">
        <v>59096490476</v>
      </c>
      <c r="F59" s="4">
        <v>66119942829</v>
      </c>
      <c r="G59" s="4">
        <v>69403503630</v>
      </c>
      <c r="H59" s="4">
        <v>80209560207</v>
      </c>
      <c r="I59" s="4">
        <v>83370439512</v>
      </c>
    </row>
    <row r="60" spans="2:14" x14ac:dyDescent="0.35">
      <c r="B60" s="3" t="s">
        <v>35</v>
      </c>
      <c r="C60" s="4" t="s">
        <v>8</v>
      </c>
      <c r="D60" s="4">
        <v>608657805</v>
      </c>
      <c r="E60" s="4" t="s">
        <v>8</v>
      </c>
      <c r="F60" s="4" t="s">
        <v>8</v>
      </c>
      <c r="G60" s="4" t="s">
        <v>8</v>
      </c>
      <c r="H60" s="4" t="s">
        <v>8</v>
      </c>
      <c r="I60" s="4"/>
    </row>
    <row r="61" spans="2:14" x14ac:dyDescent="0.35">
      <c r="B61" s="3" t="s">
        <v>36</v>
      </c>
      <c r="C61" s="4">
        <v>72978067368</v>
      </c>
      <c r="D61" s="4">
        <v>79952218892</v>
      </c>
      <c r="E61" s="4">
        <v>94389905836</v>
      </c>
      <c r="F61" s="4">
        <v>101384300692</v>
      </c>
      <c r="G61" s="4">
        <v>104124140432</v>
      </c>
      <c r="H61" s="4">
        <v>114901139514</v>
      </c>
      <c r="I61" s="4">
        <v>121093323370</v>
      </c>
    </row>
    <row r="62" spans="2:14" x14ac:dyDescent="0.35">
      <c r="B62" s="1" t="s">
        <v>37</v>
      </c>
      <c r="C62" s="5">
        <v>72978067368</v>
      </c>
      <c r="D62" s="5">
        <v>79952218892</v>
      </c>
      <c r="E62" s="5">
        <v>94389905836</v>
      </c>
      <c r="F62" s="5">
        <v>101384300692</v>
      </c>
      <c r="G62" s="5">
        <v>104124140432</v>
      </c>
      <c r="H62" s="5">
        <v>114901139514</v>
      </c>
      <c r="I62" s="5">
        <v>121093323370</v>
      </c>
    </row>
    <row r="63" spans="2:14" x14ac:dyDescent="0.35">
      <c r="B63" s="3" t="s">
        <v>38</v>
      </c>
      <c r="C63" s="4">
        <v>6194630678</v>
      </c>
      <c r="D63" s="4">
        <v>3944350940</v>
      </c>
      <c r="E63" s="4">
        <v>3413927312</v>
      </c>
      <c r="F63" s="4">
        <v>2584065883</v>
      </c>
      <c r="G63" s="4">
        <v>5144327566</v>
      </c>
      <c r="H63" s="153">
        <v>5784668868</v>
      </c>
      <c r="I63" s="4">
        <v>5625548221</v>
      </c>
    </row>
    <row r="64" spans="2:14" x14ac:dyDescent="0.35">
      <c r="B64" s="3" t="s">
        <v>39</v>
      </c>
      <c r="C64" s="4">
        <v>789268498</v>
      </c>
      <c r="D64" s="4">
        <v>1109970514</v>
      </c>
      <c r="E64" s="4">
        <v>365462144</v>
      </c>
      <c r="F64" s="4">
        <v>477683129</v>
      </c>
      <c r="G64" s="4">
        <v>989450580</v>
      </c>
      <c r="H64" s="153">
        <v>967146295</v>
      </c>
      <c r="I64" s="4">
        <v>2019404737</v>
      </c>
    </row>
    <row r="65" spans="2:14" x14ac:dyDescent="0.35">
      <c r="B65" s="3" t="s">
        <v>142</v>
      </c>
      <c r="C65" s="4" t="s">
        <v>8</v>
      </c>
      <c r="D65" s="4" t="s">
        <v>8</v>
      </c>
      <c r="E65" s="4" t="s">
        <v>8</v>
      </c>
      <c r="F65" s="4">
        <v>189487463</v>
      </c>
      <c r="G65" s="4">
        <v>196120077</v>
      </c>
      <c r="H65" s="153">
        <v>186957709</v>
      </c>
      <c r="I65" s="4">
        <v>199469372</v>
      </c>
    </row>
    <row r="66" spans="2:14" x14ac:dyDescent="0.35">
      <c r="B66" s="3" t="s">
        <v>40</v>
      </c>
      <c r="C66" s="4">
        <v>95004333</v>
      </c>
      <c r="D66" s="4">
        <v>185401084</v>
      </c>
      <c r="E66" s="4">
        <v>77603084</v>
      </c>
      <c r="F66" s="4">
        <v>57116262</v>
      </c>
      <c r="G66" s="4">
        <v>74329381</v>
      </c>
      <c r="H66" s="153">
        <v>74068576</v>
      </c>
      <c r="I66" s="4">
        <v>78824932</v>
      </c>
    </row>
    <row r="67" spans="2:14" x14ac:dyDescent="0.35">
      <c r="B67" s="1" t="s">
        <v>41</v>
      </c>
      <c r="C67" s="5">
        <v>7078903607</v>
      </c>
      <c r="D67" s="5">
        <v>5238722538</v>
      </c>
      <c r="E67" s="5">
        <v>3856992540</v>
      </c>
      <c r="F67" s="5">
        <v>3308352737</v>
      </c>
      <c r="G67" s="5">
        <v>6404227604</v>
      </c>
      <c r="H67" s="5">
        <v>7012841448</v>
      </c>
      <c r="I67" s="5">
        <v>7923247262</v>
      </c>
    </row>
    <row r="68" spans="2:14" x14ac:dyDescent="0.35">
      <c r="B68" s="3" t="s">
        <v>42</v>
      </c>
      <c r="C68" s="4">
        <v>876557103</v>
      </c>
      <c r="D68" s="4">
        <v>2274036392</v>
      </c>
      <c r="E68" s="4">
        <v>2923322846</v>
      </c>
      <c r="F68" s="4">
        <v>4581457210</v>
      </c>
      <c r="G68" s="4">
        <v>3058009690</v>
      </c>
      <c r="H68" s="4">
        <v>3630113554</v>
      </c>
      <c r="I68" s="4">
        <v>2403051804</v>
      </c>
    </row>
    <row r="69" spans="2:14" x14ac:dyDescent="0.35">
      <c r="B69" s="3" t="s">
        <v>43</v>
      </c>
      <c r="C69" s="4">
        <v>16370583014</v>
      </c>
      <c r="D69" s="4">
        <v>22482089404</v>
      </c>
      <c r="E69" s="4">
        <v>23879414713</v>
      </c>
      <c r="F69" s="4">
        <v>42659073516</v>
      </c>
      <c r="G69" s="4">
        <v>24096051506</v>
      </c>
      <c r="H69" s="4">
        <v>21243601979</v>
      </c>
      <c r="I69" s="4">
        <v>17883976956</v>
      </c>
      <c r="J69" s="83"/>
      <c r="K69" s="83"/>
      <c r="L69" s="83"/>
      <c r="M69" s="83"/>
      <c r="N69" s="83"/>
    </row>
    <row r="70" spans="2:14" ht="29" x14ac:dyDescent="0.35">
      <c r="B70" s="3" t="s">
        <v>44</v>
      </c>
      <c r="C70" s="4">
        <v>2837393300</v>
      </c>
      <c r="D70" s="4">
        <v>1913765877</v>
      </c>
      <c r="E70" s="4">
        <v>2352544083</v>
      </c>
      <c r="F70" s="4">
        <v>1331294074</v>
      </c>
      <c r="G70" s="4">
        <v>1695951363</v>
      </c>
      <c r="H70" s="4">
        <v>2513262116</v>
      </c>
      <c r="I70" s="4">
        <v>2948217565</v>
      </c>
    </row>
    <row r="71" spans="2:14" x14ac:dyDescent="0.35">
      <c r="B71" s="3" t="s">
        <v>45</v>
      </c>
      <c r="C71" s="4" t="s">
        <v>8</v>
      </c>
      <c r="D71" s="4" t="s">
        <v>8</v>
      </c>
      <c r="E71" s="4" t="s">
        <v>8</v>
      </c>
      <c r="F71" s="4">
        <v>28394840</v>
      </c>
      <c r="G71" s="4">
        <v>35666642</v>
      </c>
      <c r="H71" s="4">
        <v>41207819</v>
      </c>
      <c r="I71" s="4">
        <v>39624404</v>
      </c>
    </row>
    <row r="72" spans="2:14" x14ac:dyDescent="0.35">
      <c r="B72" s="3" t="s">
        <v>46</v>
      </c>
      <c r="C72" s="4">
        <v>3286605474</v>
      </c>
      <c r="D72" s="4">
        <v>4559171387</v>
      </c>
      <c r="E72" s="4">
        <v>7045580130</v>
      </c>
      <c r="F72" s="4">
        <v>6261220114</v>
      </c>
      <c r="G72" s="4">
        <v>6521744872</v>
      </c>
      <c r="H72" s="4">
        <v>7904264162</v>
      </c>
      <c r="I72" s="4">
        <v>5316613766</v>
      </c>
    </row>
    <row r="73" spans="2:14" x14ac:dyDescent="0.35">
      <c r="B73" s="3" t="s">
        <v>47</v>
      </c>
      <c r="C73" s="4" t="s">
        <v>8</v>
      </c>
      <c r="D73" s="4" t="s">
        <v>8</v>
      </c>
      <c r="E73" s="4">
        <v>1547499</v>
      </c>
      <c r="F73" s="4">
        <v>2840777</v>
      </c>
      <c r="G73" s="4">
        <v>3778478</v>
      </c>
      <c r="H73" s="4">
        <v>5752783</v>
      </c>
      <c r="I73" s="4">
        <v>7481253</v>
      </c>
    </row>
    <row r="74" spans="2:14" x14ac:dyDescent="0.35">
      <c r="B74" s="1" t="s">
        <v>48</v>
      </c>
      <c r="C74" s="5">
        <v>23371138891</v>
      </c>
      <c r="D74" s="5">
        <v>31229063060</v>
      </c>
      <c r="E74" s="5">
        <v>36202409271</v>
      </c>
      <c r="F74" s="5">
        <v>54864280531</v>
      </c>
      <c r="G74" s="5">
        <v>35411202551</v>
      </c>
      <c r="H74" s="5">
        <v>35338202413</v>
      </c>
      <c r="I74" s="5">
        <v>28598965748</v>
      </c>
    </row>
    <row r="75" spans="2:14" x14ac:dyDescent="0.35">
      <c r="B75" s="1" t="s">
        <v>49</v>
      </c>
      <c r="C75" s="5">
        <v>103428109766</v>
      </c>
      <c r="D75" s="5">
        <v>116421004490</v>
      </c>
      <c r="E75" s="5">
        <v>134449307647</v>
      </c>
      <c r="F75" s="174">
        <v>159556933960</v>
      </c>
      <c r="G75" s="5">
        <v>145938570587</v>
      </c>
      <c r="H75" s="174">
        <v>157252183375</v>
      </c>
      <c r="I75" s="5">
        <v>157615536380</v>
      </c>
    </row>
    <row r="76" spans="2:14" x14ac:dyDescent="0.35">
      <c r="B76" s="3" t="s">
        <v>50</v>
      </c>
      <c r="C76" s="6">
        <v>243.16</v>
      </c>
      <c r="D76" s="6">
        <v>264.48</v>
      </c>
      <c r="E76" s="6">
        <v>311.58999999999997</v>
      </c>
      <c r="F76" s="6">
        <v>334.68</v>
      </c>
      <c r="G76" s="6">
        <v>343.73</v>
      </c>
      <c r="H76" s="6">
        <v>379.3</v>
      </c>
      <c r="I76" s="6">
        <v>399.74</v>
      </c>
    </row>
    <row r="77" spans="2:14" ht="29" x14ac:dyDescent="0.35">
      <c r="B77" s="3" t="s">
        <v>51</v>
      </c>
      <c r="C77" s="6" t="s">
        <v>8</v>
      </c>
      <c r="D77" s="6" t="s">
        <v>8</v>
      </c>
      <c r="E77" s="6">
        <v>208.16</v>
      </c>
      <c r="F77" s="6">
        <v>334.68</v>
      </c>
      <c r="G77" s="6">
        <v>343.73</v>
      </c>
      <c r="H77" s="6">
        <v>379.3</v>
      </c>
      <c r="I77" s="6">
        <v>399.74</v>
      </c>
    </row>
    <row r="78" spans="2:14" ht="29" x14ac:dyDescent="0.35">
      <c r="B78" s="3" t="s">
        <v>52</v>
      </c>
      <c r="C78" s="6" t="s">
        <v>8</v>
      </c>
      <c r="D78" s="6" t="s">
        <v>8</v>
      </c>
      <c r="E78" s="6">
        <v>311.58999999999997</v>
      </c>
      <c r="F78" s="6">
        <v>231.34</v>
      </c>
      <c r="G78" s="6">
        <v>242.18</v>
      </c>
      <c r="H78" s="6">
        <v>277.86</v>
      </c>
      <c r="I78" s="6">
        <v>288.29000000000002</v>
      </c>
    </row>
    <row r="79" spans="2:14" x14ac:dyDescent="0.35">
      <c r="B79" s="3" t="s">
        <v>99</v>
      </c>
      <c r="C79" s="4">
        <v>300000000</v>
      </c>
      <c r="D79" s="4">
        <v>302382789</v>
      </c>
      <c r="E79" s="4">
        <v>302928343</v>
      </c>
      <c r="F79" s="4">
        <v>302928343</v>
      </c>
      <c r="G79" s="4">
        <v>302928343</v>
      </c>
      <c r="H79" s="4">
        <v>302928343</v>
      </c>
      <c r="I79" s="4">
        <v>302928343</v>
      </c>
    </row>
    <row r="80" spans="2:14" x14ac:dyDescent="0.35">
      <c r="B80" s="3" t="s">
        <v>114</v>
      </c>
      <c r="C80" s="17">
        <v>3</v>
      </c>
      <c r="D80" s="6">
        <v>20</v>
      </c>
      <c r="E80" s="6">
        <v>25</v>
      </c>
      <c r="F80" s="6">
        <v>25</v>
      </c>
      <c r="G80" s="6">
        <v>30</v>
      </c>
      <c r="H80" s="6">
        <v>35</v>
      </c>
      <c r="I80" s="6">
        <v>17.5</v>
      </c>
    </row>
    <row r="81" spans="2:14" x14ac:dyDescent="0.35">
      <c r="C81" s="6"/>
      <c r="D81" s="6"/>
      <c r="E81" s="6"/>
      <c r="F81" s="6"/>
      <c r="G81" s="6"/>
      <c r="H81" s="6"/>
    </row>
    <row r="82" spans="2:14" x14ac:dyDescent="0.35">
      <c r="C82" s="6"/>
      <c r="D82" s="6"/>
      <c r="E82" s="6"/>
      <c r="F82" s="6"/>
      <c r="G82" s="6"/>
      <c r="H82" s="6"/>
    </row>
    <row r="83" spans="2:14" x14ac:dyDescent="0.35">
      <c r="B83" s="8" t="s">
        <v>490</v>
      </c>
      <c r="C83" s="6"/>
      <c r="D83" s="6"/>
      <c r="E83" s="6"/>
      <c r="F83" s="6"/>
      <c r="G83" s="6"/>
      <c r="H83" s="6"/>
    </row>
    <row r="84" spans="2:14" x14ac:dyDescent="0.35">
      <c r="B84" s="68" t="s">
        <v>1</v>
      </c>
      <c r="C84" s="63">
        <v>2019</v>
      </c>
      <c r="D84" s="63">
        <v>2020</v>
      </c>
      <c r="E84" s="63">
        <v>2021</v>
      </c>
      <c r="F84" s="63">
        <v>2022</v>
      </c>
      <c r="G84" s="63">
        <v>2023</v>
      </c>
      <c r="H84" s="63">
        <v>2024</v>
      </c>
      <c r="I84" s="63">
        <v>2025</v>
      </c>
    </row>
    <row r="85" spans="2:14" x14ac:dyDescent="0.35">
      <c r="B85" s="3" t="s">
        <v>53</v>
      </c>
      <c r="C85" s="4">
        <v>-3012672489</v>
      </c>
      <c r="D85" s="4">
        <v>-3815799702</v>
      </c>
      <c r="E85" s="4" t="s">
        <v>8</v>
      </c>
      <c r="F85" s="4" t="s">
        <v>8</v>
      </c>
      <c r="G85" s="4" t="s">
        <v>8</v>
      </c>
      <c r="H85" s="4" t="s">
        <v>8</v>
      </c>
      <c r="I85" s="4" t="s">
        <v>8</v>
      </c>
    </row>
    <row r="86" spans="2:14" x14ac:dyDescent="0.35">
      <c r="B86" s="3" t="s">
        <v>54</v>
      </c>
      <c r="C86" s="4">
        <v>36482207357</v>
      </c>
      <c r="D86" s="4">
        <v>43353007765</v>
      </c>
      <c r="E86" s="4">
        <v>62583809304</v>
      </c>
      <c r="F86" s="4">
        <v>75328836761</v>
      </c>
      <c r="G86" s="4">
        <v>78005422848</v>
      </c>
      <c r="H86" s="4">
        <v>77419988481</v>
      </c>
      <c r="I86" s="4">
        <v>78507560112</v>
      </c>
    </row>
    <row r="87" spans="2:14" x14ac:dyDescent="0.35">
      <c r="B87" s="3" t="s">
        <v>55</v>
      </c>
      <c r="C87" s="4">
        <v>2282441</v>
      </c>
      <c r="D87" s="4">
        <v>505309</v>
      </c>
      <c r="E87" s="4">
        <v>20512137</v>
      </c>
      <c r="F87" s="4">
        <v>133258190</v>
      </c>
      <c r="G87" s="4">
        <v>122427285</v>
      </c>
      <c r="H87" s="4">
        <v>44492106</v>
      </c>
      <c r="I87" s="4">
        <v>-300489166</v>
      </c>
    </row>
    <row r="88" spans="2:14" ht="29" x14ac:dyDescent="0.35">
      <c r="B88" s="3" t="s">
        <v>56</v>
      </c>
      <c r="C88" s="4">
        <v>-31546920460</v>
      </c>
      <c r="D88" s="4">
        <v>-30595598253</v>
      </c>
      <c r="E88" s="4">
        <v>-42885618075</v>
      </c>
      <c r="F88" s="4">
        <v>-66973469260</v>
      </c>
      <c r="G88" s="4">
        <v>-33633766254</v>
      </c>
      <c r="H88" s="4">
        <v>-47829102523</v>
      </c>
      <c r="I88" s="4">
        <v>-45919169501</v>
      </c>
    </row>
    <row r="89" spans="2:14" x14ac:dyDescent="0.35">
      <c r="B89" s="3" t="s">
        <v>57</v>
      </c>
      <c r="C89" s="4" t="s">
        <v>8</v>
      </c>
      <c r="D89" s="4" t="s">
        <v>8</v>
      </c>
      <c r="E89" s="4">
        <v>-5307326990</v>
      </c>
      <c r="F89" s="4">
        <v>-7113919709</v>
      </c>
      <c r="G89" s="4">
        <v>-6426803156</v>
      </c>
      <c r="H89" s="4">
        <v>-7264260790</v>
      </c>
      <c r="I89" s="4">
        <v>-8321592870</v>
      </c>
      <c r="J89" s="136"/>
      <c r="K89" s="136"/>
      <c r="L89" s="136"/>
      <c r="M89" s="136"/>
      <c r="N89" s="136"/>
    </row>
    <row r="90" spans="2:14" x14ac:dyDescent="0.35">
      <c r="B90" s="1" t="s">
        <v>58</v>
      </c>
      <c r="C90" s="5">
        <f>SUM(C85:C89)</f>
        <v>1924896849</v>
      </c>
      <c r="D90" s="5">
        <f t="shared" ref="D90:H90" si="0">SUM(D85:D89)</f>
        <v>8942115119</v>
      </c>
      <c r="E90" s="5">
        <f t="shared" si="0"/>
        <v>14411376376</v>
      </c>
      <c r="F90" s="5">
        <f>SUM(F85:F89)</f>
        <v>1374705982</v>
      </c>
      <c r="G90" s="5">
        <f t="shared" si="0"/>
        <v>38067280723</v>
      </c>
      <c r="H90" s="5">
        <f t="shared" si="0"/>
        <v>22371117274</v>
      </c>
      <c r="I90" s="5">
        <f>SUM(I85:I89)</f>
        <v>23966308575</v>
      </c>
    </row>
    <row r="91" spans="2:14" x14ac:dyDescent="0.35">
      <c r="B91" s="3" t="s">
        <v>59</v>
      </c>
      <c r="C91" s="4">
        <v>-190620661</v>
      </c>
      <c r="D91" s="4">
        <v>-738303522</v>
      </c>
      <c r="E91" s="4">
        <v>-416504436</v>
      </c>
      <c r="F91" s="4">
        <v>-890258781</v>
      </c>
      <c r="G91" s="4">
        <v>-617254674</v>
      </c>
      <c r="H91" s="4">
        <v>-393654464</v>
      </c>
      <c r="I91" s="4">
        <v>-680115315</v>
      </c>
    </row>
    <row r="92" spans="2:14" x14ac:dyDescent="0.35">
      <c r="B92" s="3" t="s">
        <v>60</v>
      </c>
      <c r="C92" s="4">
        <v>-1446237719</v>
      </c>
      <c r="D92" s="4">
        <v>-3160471699</v>
      </c>
      <c r="E92" s="4">
        <v>-4329533333</v>
      </c>
      <c r="F92" s="4">
        <v>-2880161918</v>
      </c>
      <c r="G92" s="4">
        <v>-3569879509</v>
      </c>
      <c r="H92" s="4">
        <v>-4721414355</v>
      </c>
      <c r="I92" s="4">
        <v>-5655694493</v>
      </c>
    </row>
    <row r="93" spans="2:14" x14ac:dyDescent="0.35">
      <c r="B93" s="1" t="s">
        <v>61</v>
      </c>
      <c r="C93" s="5">
        <f>SUM(C90:C92)</f>
        <v>288038469</v>
      </c>
      <c r="D93" s="5">
        <f t="shared" ref="D93:G93" si="1">SUM(D90:D92)</f>
        <v>5043339898</v>
      </c>
      <c r="E93" s="5">
        <f t="shared" si="1"/>
        <v>9665338607</v>
      </c>
      <c r="F93" s="5">
        <f>SUM(F90:F92)</f>
        <v>-2395714717</v>
      </c>
      <c r="G93" s="5">
        <f t="shared" si="1"/>
        <v>33880146540</v>
      </c>
      <c r="H93" s="5">
        <f>SUM(H90:H92)</f>
        <v>17256048455</v>
      </c>
      <c r="I93" s="5">
        <f>SUM(I90:I92)</f>
        <v>17630498767</v>
      </c>
    </row>
    <row r="94" spans="2:14" x14ac:dyDescent="0.35">
      <c r="B94" s="1"/>
      <c r="C94" s="5"/>
      <c r="D94" s="5"/>
      <c r="E94" s="5"/>
      <c r="F94" s="5"/>
      <c r="G94" s="5"/>
      <c r="H94" s="5"/>
      <c r="I94" s="5"/>
    </row>
    <row r="95" spans="2:14" x14ac:dyDescent="0.35">
      <c r="B95" s="3" t="s">
        <v>62</v>
      </c>
      <c r="C95" s="4">
        <v>-4551090575</v>
      </c>
      <c r="D95" s="4">
        <v>-5508056013</v>
      </c>
      <c r="E95" s="4">
        <v>-4595529874</v>
      </c>
      <c r="F95" s="4">
        <v>-7618780348</v>
      </c>
      <c r="G95" s="4">
        <v>-6424773522</v>
      </c>
      <c r="H95" s="4">
        <v>-4800875705</v>
      </c>
      <c r="I95" s="4">
        <v>-5196559175</v>
      </c>
    </row>
    <row r="96" spans="2:14" x14ac:dyDescent="0.35">
      <c r="B96" s="3" t="s">
        <v>63</v>
      </c>
      <c r="C96" s="4">
        <v>84925786</v>
      </c>
      <c r="D96" s="4">
        <v>68477435</v>
      </c>
      <c r="E96" s="4">
        <v>72690206</v>
      </c>
      <c r="F96" s="4">
        <v>95872412</v>
      </c>
      <c r="G96" s="4">
        <v>30659852</v>
      </c>
      <c r="H96" s="4">
        <v>154894895</v>
      </c>
      <c r="I96" s="4">
        <v>303774449</v>
      </c>
    </row>
    <row r="97" spans="2:14" ht="43.5" customHeight="1" x14ac:dyDescent="0.35">
      <c r="B97" s="3" t="s">
        <v>64</v>
      </c>
      <c r="C97" s="4">
        <v>280000000</v>
      </c>
      <c r="D97" s="4" t="s">
        <v>8</v>
      </c>
      <c r="E97" s="4" t="s">
        <v>8</v>
      </c>
      <c r="F97" s="4" t="s">
        <v>8</v>
      </c>
      <c r="G97" s="4" t="s">
        <v>8</v>
      </c>
      <c r="H97" s="4" t="s">
        <v>8</v>
      </c>
      <c r="I97" s="4"/>
    </row>
    <row r="98" spans="2:14" x14ac:dyDescent="0.35">
      <c r="B98" s="3" t="s">
        <v>65</v>
      </c>
      <c r="C98" s="4">
        <v>318816520</v>
      </c>
      <c r="D98" s="4">
        <v>-34010334</v>
      </c>
      <c r="E98" s="4">
        <v>-748637702</v>
      </c>
      <c r="F98" s="4">
        <v>1087334219</v>
      </c>
      <c r="G98" s="4">
        <v>-35298004</v>
      </c>
      <c r="H98" s="4">
        <v>7662474</v>
      </c>
      <c r="I98" s="4">
        <v>8529881</v>
      </c>
    </row>
    <row r="99" spans="2:14" ht="29" x14ac:dyDescent="0.35">
      <c r="B99" s="3" t="s">
        <v>147</v>
      </c>
      <c r="C99" s="4">
        <v>34655224</v>
      </c>
      <c r="D99" s="4">
        <v>17291915</v>
      </c>
      <c r="E99" s="4">
        <v>129333817</v>
      </c>
      <c r="F99" s="4">
        <v>111353074</v>
      </c>
      <c r="G99" s="4">
        <v>50758387</v>
      </c>
      <c r="H99" s="4">
        <v>34690439</v>
      </c>
      <c r="I99" s="4">
        <v>57467186</v>
      </c>
    </row>
    <row r="100" spans="2:14" ht="29" x14ac:dyDescent="0.35">
      <c r="B100" s="3" t="s">
        <v>146</v>
      </c>
      <c r="C100" s="4">
        <v>-30486470</v>
      </c>
      <c r="D100" s="4">
        <v>-265221435</v>
      </c>
      <c r="E100" s="4">
        <v>-271375037</v>
      </c>
      <c r="F100" s="4">
        <v>-151424263</v>
      </c>
      <c r="G100" s="4">
        <v>135402706</v>
      </c>
      <c r="H100" s="4">
        <v>18925408</v>
      </c>
      <c r="I100" s="4">
        <v>433082545</v>
      </c>
    </row>
    <row r="101" spans="2:14" x14ac:dyDescent="0.35">
      <c r="B101" s="3" t="s">
        <v>66</v>
      </c>
      <c r="C101" s="4">
        <v>-7554445</v>
      </c>
      <c r="D101" s="4">
        <v>-14637674</v>
      </c>
      <c r="E101" s="4">
        <v>-1831593</v>
      </c>
      <c r="F101" s="4">
        <v>-3637488</v>
      </c>
      <c r="G101" s="4">
        <v>-11498840</v>
      </c>
      <c r="H101" s="4">
        <v>-3824614</v>
      </c>
      <c r="I101" s="4">
        <v>-37926730</v>
      </c>
    </row>
    <row r="102" spans="2:14" ht="29" x14ac:dyDescent="0.35">
      <c r="B102" s="3" t="s">
        <v>67</v>
      </c>
      <c r="C102" s="4" t="s">
        <v>8</v>
      </c>
      <c r="D102" s="4">
        <v>4639501</v>
      </c>
      <c r="E102" s="4">
        <v>117546308</v>
      </c>
      <c r="F102" s="4">
        <v>7850469</v>
      </c>
      <c r="G102" s="4">
        <v>18922211</v>
      </c>
      <c r="H102" s="4">
        <v>4946368</v>
      </c>
      <c r="I102" s="4">
        <v>586024</v>
      </c>
    </row>
    <row r="103" spans="2:14" x14ac:dyDescent="0.35">
      <c r="B103" s="1" t="s">
        <v>68</v>
      </c>
      <c r="C103" s="5">
        <f t="shared" ref="C103:I103" si="2">SUM(C95:C102)</f>
        <v>-3870733960</v>
      </c>
      <c r="D103" s="5">
        <f t="shared" si="2"/>
        <v>-5731516605</v>
      </c>
      <c r="E103" s="5">
        <f t="shared" si="2"/>
        <v>-5297803875</v>
      </c>
      <c r="F103" s="5">
        <f t="shared" si="2"/>
        <v>-6471431925</v>
      </c>
      <c r="G103" s="5">
        <f t="shared" si="2"/>
        <v>-6235827210</v>
      </c>
      <c r="H103" s="5">
        <f t="shared" si="2"/>
        <v>-4583580735</v>
      </c>
      <c r="I103" s="5">
        <f t="shared" si="2"/>
        <v>-4431045820</v>
      </c>
    </row>
    <row r="104" spans="2:14" x14ac:dyDescent="0.35">
      <c r="B104" s="1"/>
      <c r="C104" s="5"/>
      <c r="D104" s="5"/>
      <c r="E104" s="5"/>
      <c r="F104" s="5"/>
      <c r="G104" s="5"/>
      <c r="H104" s="5"/>
      <c r="I104" s="5"/>
    </row>
    <row r="105" spans="2:14" x14ac:dyDescent="0.35">
      <c r="B105" s="3" t="s">
        <v>476</v>
      </c>
      <c r="C105" s="4">
        <v>-1402662630</v>
      </c>
      <c r="D105" s="4">
        <v>-1693864902</v>
      </c>
      <c r="E105" s="4">
        <v>-1476116032</v>
      </c>
      <c r="F105" s="4">
        <v>-4301028940</v>
      </c>
      <c r="G105" s="4">
        <v>-7353240991</v>
      </c>
      <c r="H105" s="4">
        <v>-4373088074</v>
      </c>
      <c r="I105" s="4">
        <v>-4388111473</v>
      </c>
    </row>
    <row r="106" spans="2:14" x14ac:dyDescent="0.35">
      <c r="B106" s="3" t="s">
        <v>473</v>
      </c>
      <c r="C106" s="4" t="s">
        <v>8</v>
      </c>
      <c r="D106" s="4" t="s">
        <v>8</v>
      </c>
      <c r="E106" s="4">
        <v>29283430</v>
      </c>
      <c r="F106" s="4" t="s">
        <v>8</v>
      </c>
      <c r="G106" s="4" t="s">
        <v>8</v>
      </c>
      <c r="H106" s="4" t="s">
        <v>8</v>
      </c>
      <c r="I106" s="4"/>
    </row>
    <row r="107" spans="2:14" x14ac:dyDescent="0.35">
      <c r="B107" s="3" t="s">
        <v>69</v>
      </c>
      <c r="C107" s="4" t="s">
        <v>8</v>
      </c>
      <c r="D107" s="4">
        <v>609657805</v>
      </c>
      <c r="E107" s="4">
        <v>322025912</v>
      </c>
      <c r="F107" s="4" t="s">
        <v>8</v>
      </c>
      <c r="G107" s="4" t="s">
        <v>8</v>
      </c>
      <c r="H107" s="4" t="s">
        <v>8</v>
      </c>
      <c r="I107" s="4"/>
      <c r="J107" s="136"/>
      <c r="K107" s="136"/>
      <c r="L107" s="136"/>
      <c r="M107" s="136"/>
      <c r="N107" s="136"/>
    </row>
    <row r="108" spans="2:14" x14ac:dyDescent="0.35">
      <c r="B108" s="3" t="s">
        <v>70</v>
      </c>
      <c r="C108" s="4" t="s">
        <v>8</v>
      </c>
      <c r="D108" s="4">
        <v>-900000000</v>
      </c>
      <c r="E108" s="4">
        <v>-2307019361</v>
      </c>
      <c r="F108" s="4">
        <v>-5173208575</v>
      </c>
      <c r="G108" s="4">
        <v>-4572791875</v>
      </c>
      <c r="H108" s="4">
        <v>-2790584847</v>
      </c>
      <c r="I108" s="4">
        <v>-7236663155</v>
      </c>
    </row>
    <row r="109" spans="2:14" x14ac:dyDescent="0.35">
      <c r="B109" s="3" t="s">
        <v>474</v>
      </c>
      <c r="C109" s="4">
        <v>-3383982825</v>
      </c>
      <c r="D109" s="4">
        <v>-3173907164</v>
      </c>
      <c r="E109" s="4">
        <v>-91645422</v>
      </c>
      <c r="F109" s="4">
        <v>-1851111438</v>
      </c>
      <c r="G109" s="4">
        <v>2924918972</v>
      </c>
      <c r="H109" s="4">
        <v>1457652057</v>
      </c>
      <c r="I109" s="4">
        <v>275834802</v>
      </c>
      <c r="J109" s="136"/>
      <c r="K109" s="136"/>
      <c r="L109" s="136"/>
      <c r="M109" s="136"/>
      <c r="N109" s="136"/>
    </row>
    <row r="110" spans="2:14" x14ac:dyDescent="0.35">
      <c r="B110" s="3" t="s">
        <v>71</v>
      </c>
      <c r="C110" s="4">
        <v>108048000</v>
      </c>
      <c r="D110" s="4">
        <v>161322000</v>
      </c>
      <c r="E110" s="4" t="s">
        <v>8</v>
      </c>
      <c r="F110" s="4">
        <v>65722821</v>
      </c>
      <c r="G110" s="4">
        <v>46944872</v>
      </c>
      <c r="H110" s="4">
        <v>51639360</v>
      </c>
      <c r="I110" s="4">
        <v>66854714</v>
      </c>
      <c r="N110" s="7"/>
    </row>
    <row r="111" spans="2:14" x14ac:dyDescent="0.35">
      <c r="B111" s="3" t="s">
        <v>72</v>
      </c>
      <c r="C111" s="4" t="s">
        <v>8</v>
      </c>
      <c r="D111" s="4" t="s">
        <v>8</v>
      </c>
      <c r="E111" s="4" t="s">
        <v>8</v>
      </c>
      <c r="F111" s="4">
        <v>-35346059</v>
      </c>
      <c r="G111" s="4">
        <v>-30258351</v>
      </c>
      <c r="H111" s="4">
        <v>-37516806</v>
      </c>
      <c r="I111" s="4">
        <v>-41340652</v>
      </c>
      <c r="J111" s="136"/>
      <c r="K111" s="136"/>
      <c r="L111" s="136"/>
      <c r="M111" s="136"/>
      <c r="N111" s="136"/>
    </row>
    <row r="112" spans="2:14" x14ac:dyDescent="0.35">
      <c r="B112" s="3" t="s">
        <v>477</v>
      </c>
      <c r="C112" s="4" t="s">
        <v>8</v>
      </c>
      <c r="D112" s="4" t="s">
        <v>8</v>
      </c>
      <c r="E112" s="4" t="s">
        <v>8</v>
      </c>
      <c r="F112" s="4" t="s">
        <v>8</v>
      </c>
      <c r="G112" s="4" t="s">
        <v>8</v>
      </c>
      <c r="H112" s="4">
        <v>1974305</v>
      </c>
      <c r="I112" s="4">
        <v>1728470</v>
      </c>
    </row>
    <row r="113" spans="2:12" x14ac:dyDescent="0.35">
      <c r="B113" s="3" t="s">
        <v>475</v>
      </c>
      <c r="C113" s="4">
        <v>8149609360</v>
      </c>
      <c r="D113" s="4">
        <v>6122045405</v>
      </c>
      <c r="E113" s="4">
        <v>1392783107</v>
      </c>
      <c r="F113" s="4">
        <v>18779658803</v>
      </c>
      <c r="G113" s="4">
        <v>-18564035425</v>
      </c>
      <c r="H113" s="4">
        <v>-2852449527</v>
      </c>
      <c r="I113" s="4">
        <v>-3359625021</v>
      </c>
    </row>
    <row r="114" spans="2:12" x14ac:dyDescent="0.35">
      <c r="B114" s="1" t="s">
        <v>73</v>
      </c>
      <c r="C114" s="5">
        <f t="shared" ref="C114:I114" si="3">SUM(C105:C113)</f>
        <v>3471011905</v>
      </c>
      <c r="D114" s="5">
        <f t="shared" si="3"/>
        <v>1125253144</v>
      </c>
      <c r="E114" s="5">
        <f t="shared" si="3"/>
        <v>-2130688366</v>
      </c>
      <c r="F114" s="5">
        <f t="shared" si="3"/>
        <v>7484686612</v>
      </c>
      <c r="G114" s="5">
        <f t="shared" si="3"/>
        <v>-27548462798</v>
      </c>
      <c r="H114" s="5">
        <f t="shared" si="3"/>
        <v>-8542373532</v>
      </c>
      <c r="I114" s="5">
        <f t="shared" si="3"/>
        <v>-14681322315</v>
      </c>
    </row>
    <row r="115" spans="2:12" x14ac:dyDescent="0.35">
      <c r="B115" s="1" t="s">
        <v>74</v>
      </c>
      <c r="C115" s="5">
        <f t="shared" ref="C115:I115" si="4">C93+C103+C114</f>
        <v>-111683586</v>
      </c>
      <c r="D115" s="5">
        <f t="shared" si="4"/>
        <v>437076437</v>
      </c>
      <c r="E115" s="5">
        <f t="shared" si="4"/>
        <v>2236846366</v>
      </c>
      <c r="F115" s="5">
        <f t="shared" si="4"/>
        <v>-1382460030</v>
      </c>
      <c r="G115" s="5">
        <f t="shared" si="4"/>
        <v>95856532</v>
      </c>
      <c r="H115" s="5">
        <f t="shared" si="4"/>
        <v>4130094188</v>
      </c>
      <c r="I115" s="5">
        <f t="shared" si="4"/>
        <v>-1481869368</v>
      </c>
    </row>
    <row r="116" spans="2:12" ht="29" x14ac:dyDescent="0.35">
      <c r="B116" s="1" t="s">
        <v>75</v>
      </c>
      <c r="C116" s="5">
        <v>1141586437</v>
      </c>
      <c r="D116" s="5">
        <v>1029902851</v>
      </c>
      <c r="E116" s="5">
        <v>1466979290</v>
      </c>
      <c r="F116" s="5">
        <v>3703825656</v>
      </c>
      <c r="G116" s="5">
        <v>2321365628</v>
      </c>
      <c r="H116" s="5">
        <v>2417232161</v>
      </c>
      <c r="I116" s="5">
        <v>6547326350</v>
      </c>
    </row>
    <row r="117" spans="2:12" x14ac:dyDescent="0.35">
      <c r="B117" s="1" t="s">
        <v>76</v>
      </c>
      <c r="C117" s="5">
        <f t="shared" ref="C117:I117" si="5">SUM(C115:C116)</f>
        <v>1029902851</v>
      </c>
      <c r="D117" s="5">
        <f t="shared" si="5"/>
        <v>1466979288</v>
      </c>
      <c r="E117" s="5">
        <f t="shared" si="5"/>
        <v>3703825656</v>
      </c>
      <c r="F117" s="5">
        <f t="shared" si="5"/>
        <v>2321365626</v>
      </c>
      <c r="G117" s="5">
        <f t="shared" si="5"/>
        <v>2417222160</v>
      </c>
      <c r="H117" s="5">
        <f t="shared" si="5"/>
        <v>6547326349</v>
      </c>
      <c r="I117" s="5">
        <f t="shared" si="5"/>
        <v>5065456982</v>
      </c>
    </row>
    <row r="118" spans="2:12" ht="29" x14ac:dyDescent="0.35">
      <c r="B118" s="3" t="s">
        <v>77</v>
      </c>
      <c r="C118" s="6">
        <v>1.36</v>
      </c>
      <c r="D118" s="6">
        <v>17.100000000000001</v>
      </c>
      <c r="E118" s="6">
        <v>31.96</v>
      </c>
      <c r="F118" s="6">
        <v>-7.91</v>
      </c>
      <c r="G118" s="6">
        <v>111.84</v>
      </c>
      <c r="H118" s="6">
        <v>56.96</v>
      </c>
      <c r="I118" s="6">
        <v>58.2</v>
      </c>
    </row>
    <row r="119" spans="2:12" x14ac:dyDescent="0.35">
      <c r="B119" s="82" t="s">
        <v>181</v>
      </c>
      <c r="E119" s="83">
        <v>29645886108</v>
      </c>
      <c r="F119" s="83">
        <v>46792315776</v>
      </c>
      <c r="G119" s="83">
        <v>31168117154</v>
      </c>
      <c r="H119" s="83">
        <v>29769698491</v>
      </c>
      <c r="I119" s="83">
        <v>26696836518</v>
      </c>
    </row>
    <row r="122" spans="2:12" x14ac:dyDescent="0.35">
      <c r="B122" s="8" t="s">
        <v>472</v>
      </c>
    </row>
    <row r="123" spans="2:12" x14ac:dyDescent="0.35">
      <c r="B123" s="133" t="s">
        <v>422</v>
      </c>
      <c r="C123" s="134" t="s">
        <v>423</v>
      </c>
      <c r="D123" s="134" t="s">
        <v>424</v>
      </c>
      <c r="E123" s="134" t="s">
        <v>425</v>
      </c>
      <c r="F123" s="134" t="s">
        <v>426</v>
      </c>
      <c r="G123" s="134" t="s">
        <v>427</v>
      </c>
    </row>
    <row r="124" spans="2:12" x14ac:dyDescent="0.35">
      <c r="B124" s="133" t="s">
        <v>428</v>
      </c>
      <c r="C124" s="135">
        <v>44377</v>
      </c>
      <c r="D124" s="135">
        <v>44742</v>
      </c>
      <c r="E124" s="135">
        <v>45107</v>
      </c>
      <c r="F124" s="135">
        <v>45473</v>
      </c>
      <c r="G124" s="135">
        <v>45838</v>
      </c>
    </row>
    <row r="125" spans="2:12" x14ac:dyDescent="0.35">
      <c r="B125" s="82" t="s">
        <v>338</v>
      </c>
      <c r="C125" s="136">
        <v>16392038711</v>
      </c>
      <c r="D125" s="136">
        <v>12166150557</v>
      </c>
      <c r="E125" s="136">
        <v>7826780005</v>
      </c>
      <c r="F125" s="136">
        <v>13565259328</v>
      </c>
      <c r="G125" s="136">
        <v>10366160364</v>
      </c>
    </row>
    <row r="126" spans="2:12" x14ac:dyDescent="0.35">
      <c r="B126" s="82" t="s">
        <v>105</v>
      </c>
      <c r="C126" s="136">
        <v>1676160067</v>
      </c>
      <c r="D126" s="136">
        <v>1924661890</v>
      </c>
      <c r="E126" s="136">
        <v>2141649331</v>
      </c>
      <c r="F126" s="136">
        <v>2508935876</v>
      </c>
      <c r="G126" s="136">
        <v>2952947737</v>
      </c>
      <c r="H126" s="4"/>
      <c r="I126" s="4"/>
      <c r="J126" s="4"/>
      <c r="K126" s="4"/>
      <c r="L126" s="4"/>
    </row>
    <row r="127" spans="2:12" x14ac:dyDescent="0.35">
      <c r="B127" s="82" t="s">
        <v>116</v>
      </c>
      <c r="C127" s="136">
        <v>11509797</v>
      </c>
      <c r="D127" s="136">
        <v>3946229</v>
      </c>
      <c r="E127" s="136">
        <v>5325234</v>
      </c>
      <c r="F127" s="136">
        <v>7022841</v>
      </c>
      <c r="G127" s="136">
        <v>7863317</v>
      </c>
      <c r="H127" s="4"/>
      <c r="I127" s="4"/>
      <c r="J127" s="4"/>
      <c r="K127" s="4"/>
      <c r="L127" s="4"/>
    </row>
    <row r="128" spans="2:12" x14ac:dyDescent="0.35">
      <c r="B128" s="82" t="s">
        <v>429</v>
      </c>
      <c r="C128" s="136">
        <v>37066843</v>
      </c>
      <c r="D128" s="136">
        <v>40651337</v>
      </c>
      <c r="E128" s="136">
        <v>48641547</v>
      </c>
      <c r="F128" s="136">
        <v>446063829</v>
      </c>
      <c r="G128" s="136">
        <v>46711994</v>
      </c>
    </row>
    <row r="129" spans="2:7" x14ac:dyDescent="0.35">
      <c r="B129" s="82" t="s">
        <v>430</v>
      </c>
      <c r="C129" s="137" t="s">
        <v>8</v>
      </c>
      <c r="D129" s="137" t="s">
        <v>8</v>
      </c>
      <c r="E129" s="137" t="s">
        <v>8</v>
      </c>
      <c r="F129" s="137" t="s">
        <v>8</v>
      </c>
      <c r="G129" s="136">
        <v>122149570</v>
      </c>
    </row>
    <row r="130" spans="2:7" x14ac:dyDescent="0.35">
      <c r="B130" s="82" t="s">
        <v>431</v>
      </c>
      <c r="C130" s="136">
        <v>-239711525</v>
      </c>
      <c r="D130" s="136">
        <v>70459151</v>
      </c>
      <c r="E130" s="136">
        <v>17843367</v>
      </c>
      <c r="F130" s="136">
        <v>236532564</v>
      </c>
      <c r="G130" s="136">
        <v>-20598817</v>
      </c>
    </row>
    <row r="131" spans="2:7" x14ac:dyDescent="0.35">
      <c r="B131" s="82" t="s">
        <v>432</v>
      </c>
      <c r="C131" s="136">
        <v>413050796</v>
      </c>
      <c r="D131" s="136">
        <v>4137374788</v>
      </c>
      <c r="E131" s="136">
        <v>7239131770</v>
      </c>
      <c r="F131" s="136">
        <v>4095295906</v>
      </c>
      <c r="G131" s="136">
        <v>3973542066</v>
      </c>
    </row>
    <row r="132" spans="2:7" x14ac:dyDescent="0.35">
      <c r="B132" s="82" t="s">
        <v>411</v>
      </c>
      <c r="C132" s="136">
        <v>-9395230043</v>
      </c>
      <c r="D132" s="136">
        <v>-9018140939</v>
      </c>
      <c r="E132" s="136">
        <v>7237602554</v>
      </c>
      <c r="F132" s="136">
        <v>-2544494695</v>
      </c>
      <c r="G132" s="136">
        <v>1590184542</v>
      </c>
    </row>
    <row r="133" spans="2:7" x14ac:dyDescent="0.35">
      <c r="B133" s="82" t="s">
        <v>412</v>
      </c>
      <c r="C133" s="136">
        <v>-2197305642</v>
      </c>
      <c r="D133" s="136">
        <v>-12067057295</v>
      </c>
      <c r="E133" s="136">
        <v>10624085818</v>
      </c>
      <c r="F133" s="136">
        <v>-609130184</v>
      </c>
      <c r="G133" s="136">
        <v>-3466076228</v>
      </c>
    </row>
    <row r="134" spans="2:7" x14ac:dyDescent="0.35">
      <c r="B134" s="82" t="s">
        <v>413</v>
      </c>
      <c r="C134" s="136">
        <v>1051864827</v>
      </c>
      <c r="D134" s="136">
        <v>1656777365</v>
      </c>
      <c r="E134" s="136">
        <v>-1523447520</v>
      </c>
      <c r="F134" s="136">
        <v>572103864</v>
      </c>
      <c r="G134" s="136">
        <v>-1227061749</v>
      </c>
    </row>
    <row r="135" spans="2:7" x14ac:dyDescent="0.35">
      <c r="B135" s="82" t="s">
        <v>433</v>
      </c>
      <c r="C135" s="137" t="s">
        <v>8</v>
      </c>
      <c r="D135" s="137" t="s">
        <v>8</v>
      </c>
      <c r="E135" s="137" t="s">
        <v>8</v>
      </c>
      <c r="F135" s="137" t="s">
        <v>8</v>
      </c>
      <c r="G135" s="136">
        <v>-396989960</v>
      </c>
    </row>
    <row r="136" spans="2:7" x14ac:dyDescent="0.35">
      <c r="B136" s="82" t="s">
        <v>434</v>
      </c>
      <c r="C136" s="136">
        <v>1915894776</v>
      </c>
      <c r="D136" s="136">
        <v>-1310537799</v>
      </c>
      <c r="E136" s="136">
        <v>262534435</v>
      </c>
      <c r="F136" s="136">
        <v>-1021540873</v>
      </c>
      <c r="G136" s="136">
        <v>3681665930</v>
      </c>
    </row>
    <row r="137" spans="2:7" x14ac:dyDescent="0.35">
      <c r="B137" s="103" t="s">
        <v>435</v>
      </c>
      <c r="C137" s="138">
        <v>9665338607</v>
      </c>
      <c r="D137" s="138">
        <v>-2395714716</v>
      </c>
      <c r="E137" s="138">
        <v>33880146541</v>
      </c>
      <c r="F137" s="138">
        <v>17256048456</v>
      </c>
      <c r="G137" s="138">
        <v>17630498766</v>
      </c>
    </row>
    <row r="138" spans="2:7" x14ac:dyDescent="0.35">
      <c r="B138" s="82" t="s">
        <v>436</v>
      </c>
      <c r="C138" s="139">
        <v>0.91646000000000005</v>
      </c>
      <c r="D138" s="137" t="s">
        <v>8</v>
      </c>
      <c r="E138" s="137" t="s">
        <v>8</v>
      </c>
      <c r="F138" s="140">
        <v>-0.49067</v>
      </c>
      <c r="G138" s="139">
        <v>2.1700000000000001E-2</v>
      </c>
    </row>
    <row r="139" spans="2:7" x14ac:dyDescent="0.35">
      <c r="B139" s="82" t="s">
        <v>271</v>
      </c>
      <c r="C139" s="136">
        <v>-4595529874</v>
      </c>
      <c r="D139" s="136">
        <v>-7618780348</v>
      </c>
      <c r="E139" s="136">
        <v>-6424773522</v>
      </c>
      <c r="F139" s="136">
        <v>-4800875705</v>
      </c>
      <c r="G139" s="136">
        <v>-5196559175</v>
      </c>
    </row>
    <row r="140" spans="2:7" x14ac:dyDescent="0.35">
      <c r="B140" s="82" t="s">
        <v>415</v>
      </c>
      <c r="C140" s="136">
        <v>117546308</v>
      </c>
      <c r="D140" s="136">
        <v>7850469</v>
      </c>
      <c r="E140" s="136">
        <v>18922211</v>
      </c>
      <c r="F140" s="136">
        <v>4946368</v>
      </c>
      <c r="G140" s="136">
        <v>586024</v>
      </c>
    </row>
    <row r="141" spans="2:7" x14ac:dyDescent="0.35">
      <c r="B141" s="82" t="s">
        <v>416</v>
      </c>
      <c r="C141" s="136">
        <v>-1831593</v>
      </c>
      <c r="D141" s="136">
        <v>-3637488</v>
      </c>
      <c r="E141" s="136">
        <v>-11488840</v>
      </c>
      <c r="F141" s="136">
        <v>-3824614</v>
      </c>
      <c r="G141" s="136">
        <v>-37926730</v>
      </c>
    </row>
    <row r="142" spans="2:7" x14ac:dyDescent="0.35">
      <c r="B142" s="82" t="s">
        <v>138</v>
      </c>
      <c r="C142" s="136">
        <v>-1020012739</v>
      </c>
      <c r="D142" s="136">
        <v>935909956</v>
      </c>
      <c r="E142" s="136">
        <v>100104702</v>
      </c>
      <c r="F142" s="136">
        <v>26587882</v>
      </c>
      <c r="G142" s="136">
        <v>441612426</v>
      </c>
    </row>
    <row r="143" spans="2:7" x14ac:dyDescent="0.35">
      <c r="B143" s="82" t="s">
        <v>339</v>
      </c>
      <c r="C143" s="136">
        <v>202024023</v>
      </c>
      <c r="D143" s="136">
        <v>207225486</v>
      </c>
      <c r="E143" s="136">
        <v>81418239</v>
      </c>
      <c r="F143" s="136">
        <v>189585333</v>
      </c>
      <c r="G143" s="136">
        <v>361241634</v>
      </c>
    </row>
    <row r="144" spans="2:7" x14ac:dyDescent="0.35">
      <c r="B144" s="103" t="s">
        <v>437</v>
      </c>
      <c r="C144" s="138">
        <v>-5297803875</v>
      </c>
      <c r="D144" s="138">
        <v>-6471431925</v>
      </c>
      <c r="E144" s="138">
        <v>-6235817210</v>
      </c>
      <c r="F144" s="138">
        <v>-4583580736</v>
      </c>
      <c r="G144" s="138">
        <v>-4431045821</v>
      </c>
    </row>
    <row r="145" spans="2:7" x14ac:dyDescent="0.35">
      <c r="B145" s="82" t="s">
        <v>417</v>
      </c>
      <c r="C145" s="136">
        <v>1392783107</v>
      </c>
      <c r="D145" s="136">
        <v>18779658803</v>
      </c>
      <c r="E145" s="137" t="s">
        <v>8</v>
      </c>
      <c r="F145" s="137" t="s">
        <v>8</v>
      </c>
      <c r="G145" s="137" t="s">
        <v>8</v>
      </c>
    </row>
    <row r="146" spans="2:7" x14ac:dyDescent="0.35">
      <c r="B146" s="82" t="s">
        <v>418</v>
      </c>
      <c r="C146" s="137" t="s">
        <v>8</v>
      </c>
      <c r="D146" s="137" t="s">
        <v>8</v>
      </c>
      <c r="E146" s="136">
        <v>2924918972</v>
      </c>
      <c r="F146" s="136">
        <v>1457652057</v>
      </c>
      <c r="G146" s="136">
        <v>275834802</v>
      </c>
    </row>
    <row r="147" spans="2:7" x14ac:dyDescent="0.35">
      <c r="B147" s="103" t="s">
        <v>438</v>
      </c>
      <c r="C147" s="138">
        <v>1392783107</v>
      </c>
      <c r="D147" s="138">
        <v>18779658803</v>
      </c>
      <c r="E147" s="138">
        <v>2924918972</v>
      </c>
      <c r="F147" s="138">
        <v>1457652057</v>
      </c>
      <c r="G147" s="138">
        <v>275834802</v>
      </c>
    </row>
    <row r="148" spans="2:7" x14ac:dyDescent="0.35">
      <c r="B148" s="82" t="s">
        <v>419</v>
      </c>
      <c r="C148" s="137" t="s">
        <v>8</v>
      </c>
      <c r="D148" s="137" t="s">
        <v>8</v>
      </c>
      <c r="E148" s="136">
        <v>-18564035425</v>
      </c>
      <c r="F148" s="136">
        <v>-2852449527</v>
      </c>
      <c r="G148" s="136">
        <v>-3359625021</v>
      </c>
    </row>
    <row r="149" spans="2:7" x14ac:dyDescent="0.35">
      <c r="B149" s="82" t="s">
        <v>420</v>
      </c>
      <c r="C149" s="136">
        <v>-91645422</v>
      </c>
      <c r="D149" s="136">
        <v>-1886457497</v>
      </c>
      <c r="E149" s="136">
        <v>-30258351</v>
      </c>
      <c r="F149" s="136">
        <v>-37516806</v>
      </c>
      <c r="G149" s="136">
        <v>-41340652</v>
      </c>
    </row>
    <row r="150" spans="2:7" x14ac:dyDescent="0.35">
      <c r="B150" s="103" t="s">
        <v>439</v>
      </c>
      <c r="C150" s="138">
        <v>-91645422</v>
      </c>
      <c r="D150" s="138">
        <v>-1886457497</v>
      </c>
      <c r="E150" s="138">
        <v>-18594293776</v>
      </c>
      <c r="F150" s="138">
        <v>-2889966333</v>
      </c>
      <c r="G150" s="138">
        <v>-3400965673</v>
      </c>
    </row>
    <row r="151" spans="2:7" x14ac:dyDescent="0.35">
      <c r="B151" s="82" t="s">
        <v>440</v>
      </c>
      <c r="C151" s="136">
        <v>1301137685</v>
      </c>
      <c r="D151" s="136">
        <v>16893201306</v>
      </c>
      <c r="E151" s="136">
        <v>-15669374804</v>
      </c>
      <c r="F151" s="136">
        <v>-1432314276</v>
      </c>
      <c r="G151" s="136">
        <v>-3125130871</v>
      </c>
    </row>
    <row r="152" spans="2:7" x14ac:dyDescent="0.35">
      <c r="B152" s="82" t="s">
        <v>340</v>
      </c>
      <c r="C152" s="136">
        <v>351309342</v>
      </c>
      <c r="D152" s="137" t="s">
        <v>8</v>
      </c>
      <c r="E152" s="137" t="s">
        <v>8</v>
      </c>
      <c r="F152" s="137" t="s">
        <v>8</v>
      </c>
      <c r="G152" s="137" t="s">
        <v>8</v>
      </c>
    </row>
    <row r="153" spans="2:7" x14ac:dyDescent="0.35">
      <c r="B153" s="82" t="s">
        <v>421</v>
      </c>
      <c r="C153" s="136">
        <v>-2307019361</v>
      </c>
      <c r="D153" s="136">
        <v>-5173208575</v>
      </c>
      <c r="E153" s="136">
        <v>-4572791875</v>
      </c>
      <c r="F153" s="136">
        <v>-2790584847</v>
      </c>
      <c r="G153" s="136">
        <v>-7236663155</v>
      </c>
    </row>
    <row r="154" spans="2:7" x14ac:dyDescent="0.35">
      <c r="B154" s="82" t="s">
        <v>341</v>
      </c>
      <c r="C154" s="136">
        <v>-1476116032</v>
      </c>
      <c r="D154" s="136">
        <v>-4235306119</v>
      </c>
      <c r="E154" s="136">
        <v>-7306296119</v>
      </c>
      <c r="F154" s="136">
        <v>-4319474409</v>
      </c>
      <c r="G154" s="136">
        <v>-4319528289</v>
      </c>
    </row>
    <row r="155" spans="2:7" x14ac:dyDescent="0.35">
      <c r="B155" s="103" t="s">
        <v>441</v>
      </c>
      <c r="C155" s="138">
        <v>-2130688366</v>
      </c>
      <c r="D155" s="138">
        <v>7484686612</v>
      </c>
      <c r="E155" s="138">
        <v>-27548462798</v>
      </c>
      <c r="F155" s="138">
        <v>-8542373532</v>
      </c>
      <c r="G155" s="138">
        <v>-14681322315</v>
      </c>
    </row>
    <row r="156" spans="2:7" x14ac:dyDescent="0.35">
      <c r="B156" s="82" t="s">
        <v>442</v>
      </c>
      <c r="C156" s="137">
        <v>1</v>
      </c>
      <c r="D156" s="137">
        <v>0</v>
      </c>
      <c r="E156" s="137">
        <v>0</v>
      </c>
      <c r="F156" s="137">
        <v>1</v>
      </c>
      <c r="G156" s="137">
        <v>0</v>
      </c>
    </row>
    <row r="157" spans="2:7" x14ac:dyDescent="0.35">
      <c r="B157" s="103" t="s">
        <v>443</v>
      </c>
      <c r="C157" s="138">
        <v>2236846367</v>
      </c>
      <c r="D157" s="138">
        <v>-1382460029</v>
      </c>
      <c r="E157" s="138">
        <v>95866533</v>
      </c>
      <c r="F157" s="138">
        <v>4130094189</v>
      </c>
      <c r="G157" s="138">
        <v>-1481869370</v>
      </c>
    </row>
    <row r="158" spans="2:7" x14ac:dyDescent="0.35">
      <c r="B158" s="82" t="s">
        <v>444</v>
      </c>
      <c r="C158" s="136">
        <v>5069808733</v>
      </c>
      <c r="D158" s="136">
        <v>-10014495064</v>
      </c>
      <c r="E158" s="136">
        <v>27455373019</v>
      </c>
      <c r="F158" s="136">
        <v>12455172751</v>
      </c>
      <c r="G158" s="136">
        <v>12433939591</v>
      </c>
    </row>
    <row r="159" spans="2:7" x14ac:dyDescent="0.35">
      <c r="B159" s="82" t="s">
        <v>445</v>
      </c>
      <c r="C159" s="137" t="s">
        <v>8</v>
      </c>
      <c r="D159" s="137" t="s">
        <v>8</v>
      </c>
      <c r="E159" s="137" t="s">
        <v>8</v>
      </c>
      <c r="F159" s="140">
        <v>-0.54635</v>
      </c>
      <c r="G159" s="140">
        <v>-1.6999999999999999E-3</v>
      </c>
    </row>
    <row r="160" spans="2:7" x14ac:dyDescent="0.35">
      <c r="B160" s="82" t="s">
        <v>446</v>
      </c>
      <c r="C160" s="141">
        <v>7.2480000000000003E-2</v>
      </c>
      <c r="D160" s="141">
        <v>-0.1226</v>
      </c>
      <c r="E160" s="141">
        <v>0.41364000000000001</v>
      </c>
      <c r="F160" s="141">
        <v>0.1658</v>
      </c>
      <c r="G160" s="141">
        <v>0.17555999999999999</v>
      </c>
    </row>
    <row r="161" spans="2:9" x14ac:dyDescent="0.35">
      <c r="B161" s="82" t="s">
        <v>447</v>
      </c>
      <c r="C161" s="137">
        <v>15.242000000000001</v>
      </c>
      <c r="D161" s="137">
        <v>-30.053999999999998</v>
      </c>
      <c r="E161" s="137">
        <v>82.394000000000005</v>
      </c>
      <c r="F161" s="137">
        <v>37.378</v>
      </c>
      <c r="G161" s="137">
        <v>37.314</v>
      </c>
    </row>
    <row r="162" spans="2:9" x14ac:dyDescent="0.35">
      <c r="B162" s="82" t="s">
        <v>448</v>
      </c>
      <c r="C162" s="136">
        <v>1476116032</v>
      </c>
      <c r="D162" s="136">
        <v>4301028941</v>
      </c>
      <c r="E162" s="136">
        <v>7353240991</v>
      </c>
      <c r="F162" s="136">
        <v>4373088074</v>
      </c>
      <c r="G162" s="136">
        <v>4388111473</v>
      </c>
    </row>
    <row r="163" spans="2:9" x14ac:dyDescent="0.35">
      <c r="B163" s="82" t="s">
        <v>449</v>
      </c>
      <c r="C163" s="136">
        <v>4329533333</v>
      </c>
      <c r="D163" s="136">
        <v>2880161918</v>
      </c>
      <c r="E163" s="136">
        <v>3569879509</v>
      </c>
      <c r="F163" s="136">
        <v>4721414355</v>
      </c>
      <c r="G163" s="136">
        <v>5655694</v>
      </c>
    </row>
    <row r="164" spans="2:9" x14ac:dyDescent="0.35">
      <c r="B164" s="82" t="s">
        <v>450</v>
      </c>
      <c r="C164" s="136">
        <v>-591238468</v>
      </c>
      <c r="D164" s="136">
        <v>-16878215995</v>
      </c>
      <c r="E164" s="136">
        <v>20120451996</v>
      </c>
      <c r="F164" s="136">
        <v>3890573439</v>
      </c>
      <c r="G164" s="136">
        <v>4861523115</v>
      </c>
    </row>
    <row r="165" spans="2:9" x14ac:dyDescent="0.35">
      <c r="B165" s="82" t="s">
        <v>451</v>
      </c>
      <c r="C165" s="136">
        <v>-24245982</v>
      </c>
      <c r="D165" s="136">
        <v>-15967402113</v>
      </c>
      <c r="E165" s="136">
        <v>21795183763</v>
      </c>
      <c r="F165" s="136">
        <v>5656045922</v>
      </c>
      <c r="G165" s="136">
        <v>6752275463</v>
      </c>
    </row>
    <row r="166" spans="2:9" x14ac:dyDescent="0.35">
      <c r="B166" s="82" t="s">
        <v>452</v>
      </c>
      <c r="C166" s="136">
        <v>-8624776082</v>
      </c>
      <c r="D166" s="136">
        <v>-20738958668</v>
      </c>
      <c r="E166" s="136">
        <v>16600775287</v>
      </c>
      <c r="F166" s="136">
        <v>-3603061888</v>
      </c>
      <c r="G166" s="136">
        <v>181722535</v>
      </c>
    </row>
    <row r="167" spans="2:9" x14ac:dyDescent="0.35">
      <c r="B167" s="3" t="s">
        <v>453</v>
      </c>
      <c r="C167" s="7">
        <v>1029902851</v>
      </c>
      <c r="D167" s="7">
        <v>1466979290</v>
      </c>
      <c r="E167" s="7">
        <v>3703825656</v>
      </c>
      <c r="F167" s="7">
        <v>2321365628</v>
      </c>
      <c r="G167" s="7">
        <v>2417232161</v>
      </c>
      <c r="H167" s="7">
        <v>6547326350</v>
      </c>
    </row>
    <row r="168" spans="2:9" x14ac:dyDescent="0.35">
      <c r="B168" s="3" t="s">
        <v>454</v>
      </c>
      <c r="C168" s="7">
        <v>1466979288</v>
      </c>
      <c r="D168" s="7">
        <v>3703825656</v>
      </c>
      <c r="E168" s="7">
        <v>2321365626</v>
      </c>
      <c r="F168" s="7">
        <v>2417222160</v>
      </c>
      <c r="G168" s="7">
        <v>6547326349</v>
      </c>
      <c r="H168" s="7">
        <v>5065456982</v>
      </c>
    </row>
    <row r="175" spans="2:9" x14ac:dyDescent="0.35">
      <c r="B175" s="1" t="s">
        <v>320</v>
      </c>
    </row>
    <row r="176" spans="2:9" x14ac:dyDescent="0.35">
      <c r="B176" s="106" t="s">
        <v>292</v>
      </c>
      <c r="C176" s="107">
        <v>2019</v>
      </c>
      <c r="D176" s="107">
        <v>2020</v>
      </c>
      <c r="E176" s="107">
        <v>2021</v>
      </c>
      <c r="F176" s="107">
        <v>2022</v>
      </c>
      <c r="G176" s="107">
        <v>2023</v>
      </c>
      <c r="H176" s="107">
        <v>2024</v>
      </c>
      <c r="I176" s="107">
        <v>2025</v>
      </c>
    </row>
    <row r="177" spans="2:9" x14ac:dyDescent="0.35">
      <c r="B177" s="37" t="s">
        <v>285</v>
      </c>
      <c r="C177" s="108">
        <f>E196</f>
        <v>45532825150</v>
      </c>
      <c r="D177" s="108">
        <f>H196</f>
        <v>27712217305</v>
      </c>
      <c r="E177" s="108">
        <f>K196</f>
        <v>52166796347</v>
      </c>
      <c r="F177" s="108">
        <f>N196</f>
        <v>58182457561</v>
      </c>
      <c r="G177" s="108">
        <f>Q196</f>
        <v>44547964112</v>
      </c>
      <c r="H177" s="108">
        <f>T196</f>
        <v>46588327803</v>
      </c>
      <c r="I177" s="108">
        <f>W196</f>
        <v>47595797430</v>
      </c>
    </row>
    <row r="178" spans="2:9" x14ac:dyDescent="0.35">
      <c r="B178" s="37" t="s">
        <v>280</v>
      </c>
      <c r="C178" s="108">
        <f t="shared" ref="C178:C188" si="6">E197</f>
        <v>2251032921</v>
      </c>
      <c r="D178" s="108">
        <f t="shared" ref="D178:D188" si="7">H197</f>
        <v>3531334031</v>
      </c>
      <c r="E178" s="108">
        <f t="shared" ref="E178:E188" si="8">K197</f>
        <v>3663874665</v>
      </c>
      <c r="F178" s="108">
        <f t="shared" ref="F178:F188" si="9">N197</f>
        <v>4461440031</v>
      </c>
      <c r="G178" s="108">
        <f t="shared" ref="G178:G188" si="10">Q197</f>
        <v>6200249581</v>
      </c>
      <c r="H178" s="108">
        <f t="shared" ref="H178:H188" si="11">T197</f>
        <v>9650873269</v>
      </c>
      <c r="I178" s="108">
        <f t="shared" ref="I178:I188" si="12">W197</f>
        <v>6604019068</v>
      </c>
    </row>
    <row r="179" spans="2:9" x14ac:dyDescent="0.35">
      <c r="B179" s="37" t="s">
        <v>281</v>
      </c>
      <c r="C179" s="108">
        <f t="shared" si="6"/>
        <v>3723537910</v>
      </c>
      <c r="D179" s="108">
        <f t="shared" si="7"/>
        <v>7188360946</v>
      </c>
      <c r="E179" s="108">
        <f t="shared" si="8"/>
        <v>8277809347</v>
      </c>
      <c r="F179" s="108">
        <f t="shared" si="9"/>
        <v>9224628606</v>
      </c>
      <c r="G179" s="108">
        <f t="shared" si="10"/>
        <v>6106996264</v>
      </c>
      <c r="H179" s="108">
        <f t="shared" si="11"/>
        <v>5233481108</v>
      </c>
      <c r="I179" s="108">
        <f t="shared" si="12"/>
        <v>4114707147</v>
      </c>
    </row>
    <row r="180" spans="2:9" x14ac:dyDescent="0.35">
      <c r="B180" s="37" t="s">
        <v>286</v>
      </c>
      <c r="C180" s="108">
        <f t="shared" si="6"/>
        <v>127438441</v>
      </c>
      <c r="D180" s="108">
        <f t="shared" si="7"/>
        <v>2273906217</v>
      </c>
      <c r="E180" s="108">
        <f t="shared" si="8"/>
        <v>4659817090</v>
      </c>
      <c r="F180" s="108">
        <f t="shared" si="9"/>
        <v>7018368903</v>
      </c>
      <c r="G180" s="108">
        <f t="shared" si="10"/>
        <v>9280617364</v>
      </c>
      <c r="H180" s="108">
        <f t="shared" si="11"/>
        <v>12579783534</v>
      </c>
      <c r="I180" s="108">
        <f t="shared" si="12"/>
        <v>10168627520</v>
      </c>
    </row>
    <row r="181" spans="2:9" x14ac:dyDescent="0.35">
      <c r="B181" s="37" t="s">
        <v>287</v>
      </c>
      <c r="C181" s="108">
        <f t="shared" si="6"/>
        <v>732909440</v>
      </c>
      <c r="D181" s="108">
        <f t="shared" si="7"/>
        <v>1845942544</v>
      </c>
      <c r="E181" s="108">
        <f t="shared" si="8"/>
        <v>3196640965</v>
      </c>
      <c r="F181" s="108">
        <f t="shared" si="9"/>
        <v>4910798040</v>
      </c>
      <c r="G181" s="108">
        <f t="shared" si="10"/>
        <v>3516498503</v>
      </c>
      <c r="H181" s="108">
        <f t="shared" si="11"/>
        <v>4335514505</v>
      </c>
      <c r="I181" s="108">
        <f t="shared" si="12"/>
        <v>4620250201</v>
      </c>
    </row>
    <row r="182" spans="2:9" x14ac:dyDescent="0.35">
      <c r="B182" s="127" t="s">
        <v>288</v>
      </c>
      <c r="E182" s="108">
        <f t="shared" si="8"/>
        <v>0</v>
      </c>
      <c r="F182" s="108">
        <f t="shared" si="9"/>
        <v>539074511</v>
      </c>
      <c r="G182" s="108">
        <f t="shared" si="10"/>
        <v>1041140519</v>
      </c>
      <c r="H182" s="108">
        <f t="shared" si="11"/>
        <v>1086591865</v>
      </c>
      <c r="I182" s="108">
        <f t="shared" si="12"/>
        <v>1610788118</v>
      </c>
    </row>
    <row r="183" spans="2:9" x14ac:dyDescent="0.35">
      <c r="B183" s="127" t="s">
        <v>290</v>
      </c>
      <c r="E183" s="108">
        <f t="shared" si="8"/>
        <v>0</v>
      </c>
      <c r="F183" s="108">
        <f t="shared" si="9"/>
        <v>0</v>
      </c>
      <c r="G183" s="108">
        <f t="shared" si="10"/>
        <v>0</v>
      </c>
      <c r="H183" s="108">
        <f t="shared" si="11"/>
        <v>0</v>
      </c>
      <c r="I183" s="108">
        <f t="shared" si="12"/>
        <v>1341605715</v>
      </c>
    </row>
    <row r="184" spans="2:9" x14ac:dyDescent="0.35">
      <c r="B184" s="37" t="s">
        <v>289</v>
      </c>
      <c r="C184" s="108">
        <f t="shared" si="6"/>
        <v>0</v>
      </c>
      <c r="D184" s="108">
        <f t="shared" si="7"/>
        <v>0</v>
      </c>
      <c r="E184" s="108">
        <f t="shared" si="8"/>
        <v>0</v>
      </c>
      <c r="F184" s="108" t="str">
        <f t="shared" si="9"/>
        <v>-</v>
      </c>
      <c r="G184" s="108">
        <f t="shared" si="10"/>
        <v>36709551</v>
      </c>
      <c r="H184" s="108">
        <f t="shared" si="11"/>
        <v>276328994</v>
      </c>
      <c r="I184" s="108">
        <f t="shared" si="12"/>
        <v>619138607</v>
      </c>
    </row>
    <row r="185" spans="2:9" x14ac:dyDescent="0.35">
      <c r="B185" s="37" t="s">
        <v>291</v>
      </c>
      <c r="C185" s="108">
        <f t="shared" si="6"/>
        <v>0</v>
      </c>
      <c r="D185" s="108">
        <f t="shared" si="7"/>
        <v>0</v>
      </c>
      <c r="E185" s="108">
        <f t="shared" si="8"/>
        <v>0</v>
      </c>
      <c r="F185" s="108" t="str">
        <f t="shared" si="9"/>
        <v>-</v>
      </c>
      <c r="G185" s="108">
        <f t="shared" si="10"/>
        <v>37644400</v>
      </c>
      <c r="H185" s="108">
        <f t="shared" si="11"/>
        <v>213582098</v>
      </c>
      <c r="I185" s="108">
        <f t="shared" si="12"/>
        <v>242441762</v>
      </c>
    </row>
    <row r="186" spans="2:9" x14ac:dyDescent="0.35">
      <c r="B186" s="109" t="s">
        <v>282</v>
      </c>
      <c r="C186" s="110">
        <f t="shared" si="6"/>
        <v>52367743862</v>
      </c>
      <c r="D186" s="110">
        <f t="shared" si="7"/>
        <v>42551761043</v>
      </c>
      <c r="E186" s="110">
        <f t="shared" si="8"/>
        <v>71964938414</v>
      </c>
      <c r="F186" s="110">
        <f t="shared" si="9"/>
        <v>84336767652</v>
      </c>
      <c r="G186" s="110">
        <f t="shared" si="10"/>
        <v>70767820294</v>
      </c>
      <c r="H186" s="110">
        <f t="shared" si="11"/>
        <v>79964483176</v>
      </c>
      <c r="I186" s="110">
        <f t="shared" si="12"/>
        <v>76917375569</v>
      </c>
    </row>
    <row r="187" spans="2:9" x14ac:dyDescent="0.35">
      <c r="B187" s="37" t="s">
        <v>283</v>
      </c>
      <c r="C187" s="108">
        <f t="shared" si="6"/>
        <v>-594506746</v>
      </c>
      <c r="D187" s="108">
        <f t="shared" si="7"/>
        <v>-1472512776</v>
      </c>
      <c r="E187" s="108">
        <f t="shared" si="8"/>
        <v>-2015012601</v>
      </c>
      <c r="F187" s="108">
        <f t="shared" si="9"/>
        <v>-2655086368</v>
      </c>
      <c r="G187" s="108">
        <f t="shared" si="10"/>
        <v>-4393548889</v>
      </c>
      <c r="H187" s="108">
        <f t="shared" si="11"/>
        <v>-4843328560</v>
      </c>
      <c r="I187" s="108">
        <f t="shared" si="12"/>
        <v>-6094899866</v>
      </c>
    </row>
    <row r="188" spans="2:9" x14ac:dyDescent="0.35">
      <c r="B188" s="109" t="s">
        <v>284</v>
      </c>
      <c r="C188" s="110">
        <f t="shared" si="6"/>
        <v>51773237116</v>
      </c>
      <c r="D188" s="110">
        <f t="shared" si="7"/>
        <v>41079248267</v>
      </c>
      <c r="E188" s="110">
        <f t="shared" si="8"/>
        <v>69949925813</v>
      </c>
      <c r="F188" s="110">
        <f t="shared" si="9"/>
        <v>81681681284</v>
      </c>
      <c r="G188" s="110">
        <f t="shared" si="10"/>
        <v>66374271405</v>
      </c>
      <c r="H188" s="110">
        <f t="shared" si="11"/>
        <v>75121154616</v>
      </c>
      <c r="I188" s="110">
        <f t="shared" si="12"/>
        <v>70822475704</v>
      </c>
    </row>
    <row r="190" spans="2:9" x14ac:dyDescent="0.35">
      <c r="F190" s="4"/>
      <c r="G190" s="4"/>
    </row>
    <row r="191" spans="2:9" x14ac:dyDescent="0.35">
      <c r="B191" s="111"/>
      <c r="C191" s="111"/>
      <c r="D191" s="111"/>
      <c r="E191" s="111"/>
      <c r="F191" s="111"/>
      <c r="G191" s="111"/>
      <c r="H191" s="111"/>
    </row>
    <row r="192" spans="2:9" x14ac:dyDescent="0.35">
      <c r="B192" s="2"/>
    </row>
    <row r="193" spans="2:23" x14ac:dyDescent="0.35">
      <c r="B193" s="2"/>
    </row>
    <row r="194" spans="2:23" x14ac:dyDescent="0.35">
      <c r="B194" s="8" t="s">
        <v>319</v>
      </c>
    </row>
    <row r="195" spans="2:23" ht="35.5" customHeight="1" x14ac:dyDescent="0.35">
      <c r="B195" s="112" t="s">
        <v>293</v>
      </c>
      <c r="C195" s="113" t="s">
        <v>294</v>
      </c>
      <c r="D195" s="113" t="s">
        <v>295</v>
      </c>
      <c r="E195" s="114" t="s">
        <v>296</v>
      </c>
      <c r="F195" s="113" t="s">
        <v>297</v>
      </c>
      <c r="G195" s="113" t="s">
        <v>298</v>
      </c>
      <c r="H195" s="114" t="s">
        <v>299</v>
      </c>
      <c r="I195" s="113" t="s">
        <v>300</v>
      </c>
      <c r="J195" s="113" t="s">
        <v>301</v>
      </c>
      <c r="K195" s="114" t="s">
        <v>302</v>
      </c>
      <c r="L195" s="113" t="s">
        <v>303</v>
      </c>
      <c r="M195" s="113" t="s">
        <v>304</v>
      </c>
      <c r="N195" s="114" t="s">
        <v>305</v>
      </c>
      <c r="O195" s="113" t="s">
        <v>306</v>
      </c>
      <c r="P195" s="113" t="s">
        <v>307</v>
      </c>
      <c r="Q195" s="114" t="s">
        <v>308</v>
      </c>
      <c r="R195" s="113" t="s">
        <v>309</v>
      </c>
      <c r="S195" s="113" t="s">
        <v>310</v>
      </c>
      <c r="T195" s="114" t="s">
        <v>311</v>
      </c>
      <c r="U195" s="115" t="s">
        <v>312</v>
      </c>
      <c r="V195" s="113" t="s">
        <v>313</v>
      </c>
      <c r="W195" s="114" t="s">
        <v>314</v>
      </c>
    </row>
    <row r="196" spans="2:23" x14ac:dyDescent="0.35">
      <c r="B196" s="19" t="s">
        <v>285</v>
      </c>
      <c r="C196" s="116">
        <v>45498332165</v>
      </c>
      <c r="D196" s="116">
        <v>34492985</v>
      </c>
      <c r="E196" s="117">
        <v>45532825150</v>
      </c>
      <c r="F196" s="116">
        <v>27673011675</v>
      </c>
      <c r="G196" s="116">
        <v>39205630</v>
      </c>
      <c r="H196" s="117">
        <v>27712217305</v>
      </c>
      <c r="I196" s="118">
        <v>51601580720</v>
      </c>
      <c r="J196" s="118">
        <v>565215627</v>
      </c>
      <c r="K196" s="119">
        <v>52166796347</v>
      </c>
      <c r="L196" s="118">
        <v>56235285772</v>
      </c>
      <c r="M196" s="118">
        <v>1947171789</v>
      </c>
      <c r="N196" s="119">
        <v>58182457561</v>
      </c>
      <c r="O196" s="118">
        <v>43324943068</v>
      </c>
      <c r="P196" s="118">
        <v>1223021044</v>
      </c>
      <c r="Q196" s="119">
        <v>44547964112</v>
      </c>
      <c r="R196" s="118">
        <v>46145647865</v>
      </c>
      <c r="S196" s="118">
        <v>442679938</v>
      </c>
      <c r="T196" s="119">
        <v>46588327803</v>
      </c>
      <c r="U196" s="120">
        <v>46970740345</v>
      </c>
      <c r="V196" s="118">
        <v>625057085</v>
      </c>
      <c r="W196" s="119">
        <v>47595797430</v>
      </c>
    </row>
    <row r="197" spans="2:23" x14ac:dyDescent="0.35">
      <c r="B197" s="19" t="s">
        <v>280</v>
      </c>
      <c r="E197" s="117">
        <v>2251032921</v>
      </c>
      <c r="F197" s="116">
        <v>3486313613</v>
      </c>
      <c r="G197" s="116">
        <v>45020418</v>
      </c>
      <c r="H197" s="117">
        <v>3531334031</v>
      </c>
      <c r="I197" s="118">
        <v>3495679775</v>
      </c>
      <c r="J197" s="118">
        <v>168194890</v>
      </c>
      <c r="K197" s="119">
        <v>3663874665</v>
      </c>
      <c r="L197" s="118">
        <v>4421955665</v>
      </c>
      <c r="M197" s="118">
        <v>39484366</v>
      </c>
      <c r="N197" s="119">
        <v>4461440031</v>
      </c>
      <c r="O197" s="118">
        <v>6184905864</v>
      </c>
      <c r="P197" s="118">
        <v>15343717</v>
      </c>
      <c r="Q197" s="119">
        <v>6200249581</v>
      </c>
      <c r="R197" s="118">
        <v>9631933632</v>
      </c>
      <c r="S197" s="118">
        <v>18939637</v>
      </c>
      <c r="T197" s="119">
        <v>9650873269</v>
      </c>
      <c r="U197" s="120">
        <v>6536528248</v>
      </c>
      <c r="V197" s="118">
        <v>67490820</v>
      </c>
      <c r="W197" s="119">
        <v>6604019068</v>
      </c>
    </row>
    <row r="198" spans="2:23" x14ac:dyDescent="0.35">
      <c r="B198" s="19" t="s">
        <v>281</v>
      </c>
      <c r="C198" s="116">
        <v>3698759172</v>
      </c>
      <c r="D198" s="116">
        <v>24778738</v>
      </c>
      <c r="E198" s="117">
        <v>3723537910</v>
      </c>
      <c r="F198" s="116">
        <v>7138515726</v>
      </c>
      <c r="G198" s="116">
        <v>49845220</v>
      </c>
      <c r="H198" s="117">
        <v>7188360946</v>
      </c>
      <c r="I198" s="118">
        <v>7841821963</v>
      </c>
      <c r="J198" s="118">
        <v>435987384</v>
      </c>
      <c r="K198" s="119">
        <v>8277809347</v>
      </c>
      <c r="L198" s="118">
        <v>8876152662</v>
      </c>
      <c r="M198" s="118">
        <v>348475944</v>
      </c>
      <c r="N198" s="119">
        <v>9224628606</v>
      </c>
      <c r="O198" s="118">
        <v>6074438700</v>
      </c>
      <c r="P198" s="118">
        <v>32557564</v>
      </c>
      <c r="Q198" s="119">
        <v>6106996264</v>
      </c>
      <c r="R198" s="118">
        <v>5197771323</v>
      </c>
      <c r="S198" s="118">
        <v>35709785</v>
      </c>
      <c r="T198" s="119">
        <v>5233481108</v>
      </c>
      <c r="U198" s="120">
        <v>4091731834</v>
      </c>
      <c r="V198" s="118">
        <v>22975313</v>
      </c>
      <c r="W198" s="119">
        <v>4114707147</v>
      </c>
    </row>
    <row r="199" spans="2:23" x14ac:dyDescent="0.35">
      <c r="B199" s="19" t="s">
        <v>286</v>
      </c>
      <c r="C199" s="116">
        <v>127438441</v>
      </c>
      <c r="D199" s="116" t="s">
        <v>8</v>
      </c>
      <c r="E199" s="117">
        <v>127438441</v>
      </c>
      <c r="F199" s="116">
        <v>2273707492</v>
      </c>
      <c r="G199" s="116">
        <v>198725</v>
      </c>
      <c r="H199" s="117">
        <v>2273906217</v>
      </c>
      <c r="I199" s="118">
        <v>4657925838</v>
      </c>
      <c r="J199" s="118">
        <v>1891252</v>
      </c>
      <c r="K199" s="119">
        <v>4659817090</v>
      </c>
      <c r="L199" s="118">
        <v>7009087457</v>
      </c>
      <c r="M199" s="118">
        <v>9281446</v>
      </c>
      <c r="N199" s="119">
        <v>7018368903</v>
      </c>
      <c r="O199" s="118">
        <v>9277672180</v>
      </c>
      <c r="P199" s="118">
        <v>2945184</v>
      </c>
      <c r="Q199" s="119">
        <v>9280617364</v>
      </c>
      <c r="R199" s="118">
        <v>12564294247</v>
      </c>
      <c r="S199" s="118">
        <v>15489287</v>
      </c>
      <c r="T199" s="119">
        <v>12579783534</v>
      </c>
      <c r="U199" s="120">
        <v>10161536579</v>
      </c>
      <c r="V199" s="118">
        <v>7090941</v>
      </c>
      <c r="W199" s="119">
        <v>10168627520</v>
      </c>
    </row>
    <row r="200" spans="2:23" x14ac:dyDescent="0.35">
      <c r="B200" s="19" t="s">
        <v>287</v>
      </c>
      <c r="C200" s="116">
        <v>732564328</v>
      </c>
      <c r="D200" s="116">
        <v>345112</v>
      </c>
      <c r="E200" s="117">
        <v>732909440</v>
      </c>
      <c r="F200" s="116">
        <v>1840279213</v>
      </c>
      <c r="G200" s="116">
        <v>5663331</v>
      </c>
      <c r="H200" s="117">
        <v>1845942544</v>
      </c>
      <c r="I200" s="118">
        <v>3172396969</v>
      </c>
      <c r="J200" s="118">
        <v>24243996</v>
      </c>
      <c r="K200" s="119">
        <v>3196640965</v>
      </c>
      <c r="L200" s="118">
        <v>4848740292</v>
      </c>
      <c r="M200" s="118">
        <v>62057748</v>
      </c>
      <c r="N200" s="119">
        <v>4910798040</v>
      </c>
      <c r="O200" s="118">
        <v>3497432900</v>
      </c>
      <c r="P200" s="118">
        <v>19065603</v>
      </c>
      <c r="Q200" s="119">
        <v>3516498503</v>
      </c>
      <c r="R200" s="118">
        <v>4330952602</v>
      </c>
      <c r="S200" s="118">
        <v>4561903</v>
      </c>
      <c r="T200" s="119">
        <v>4335514505</v>
      </c>
      <c r="U200" s="120">
        <v>4593016537</v>
      </c>
      <c r="V200" s="118">
        <v>27233664</v>
      </c>
      <c r="W200" s="119">
        <v>4620250201</v>
      </c>
    </row>
    <row r="201" spans="2:23" x14ac:dyDescent="0.35">
      <c r="B201" s="128" t="s">
        <v>288</v>
      </c>
      <c r="C201" s="116"/>
      <c r="D201" s="116"/>
      <c r="E201" s="117"/>
      <c r="F201" s="116"/>
      <c r="G201" s="116"/>
      <c r="H201" s="117"/>
      <c r="I201" s="118"/>
      <c r="J201" s="118"/>
      <c r="K201" s="119"/>
      <c r="L201" s="118">
        <v>539074511</v>
      </c>
      <c r="M201" s="118" t="s">
        <v>8</v>
      </c>
      <c r="N201" s="119">
        <v>539074511</v>
      </c>
      <c r="O201" s="118">
        <v>1041140519</v>
      </c>
      <c r="P201" s="118" t="s">
        <v>8</v>
      </c>
      <c r="Q201" s="119">
        <v>1041140519</v>
      </c>
      <c r="R201" s="118">
        <v>1086591865</v>
      </c>
      <c r="S201" s="118" t="s">
        <v>8</v>
      </c>
      <c r="T201" s="119">
        <v>1086591865</v>
      </c>
      <c r="U201" s="120">
        <v>1606531242</v>
      </c>
      <c r="V201" s="118">
        <v>4256876</v>
      </c>
      <c r="W201" s="119">
        <v>1610788118</v>
      </c>
    </row>
    <row r="202" spans="2:23" x14ac:dyDescent="0.35">
      <c r="B202" s="128" t="s">
        <v>290</v>
      </c>
      <c r="C202" s="116"/>
      <c r="D202" s="116"/>
      <c r="E202" s="117"/>
      <c r="F202" s="116"/>
      <c r="G202" s="116"/>
      <c r="H202" s="117"/>
      <c r="I202" s="118"/>
      <c r="J202" s="118"/>
      <c r="K202" s="119"/>
      <c r="L202" s="118"/>
      <c r="M202" s="118"/>
      <c r="N202" s="119"/>
      <c r="O202" s="118"/>
      <c r="P202" s="118"/>
      <c r="Q202" s="119"/>
      <c r="R202" s="118" t="s">
        <v>8</v>
      </c>
      <c r="S202" s="118" t="s">
        <v>8</v>
      </c>
      <c r="T202" s="119"/>
      <c r="U202" s="120">
        <v>1341605715</v>
      </c>
      <c r="V202" s="118"/>
      <c r="W202" s="119">
        <v>1341605715</v>
      </c>
    </row>
    <row r="203" spans="2:23" x14ac:dyDescent="0.35">
      <c r="B203" s="19" t="s">
        <v>289</v>
      </c>
      <c r="C203" s="116"/>
      <c r="D203" s="116"/>
      <c r="E203" s="117"/>
      <c r="F203" s="116"/>
      <c r="G203" s="116"/>
      <c r="H203" s="117"/>
      <c r="I203" s="118"/>
      <c r="J203" s="118"/>
      <c r="K203" s="119"/>
      <c r="L203" s="118" t="s">
        <v>8</v>
      </c>
      <c r="M203" s="118" t="s">
        <v>8</v>
      </c>
      <c r="N203" s="119" t="s">
        <v>8</v>
      </c>
      <c r="O203" s="118">
        <v>36709551</v>
      </c>
      <c r="P203" s="118" t="s">
        <v>8</v>
      </c>
      <c r="Q203" s="119">
        <v>36709551</v>
      </c>
      <c r="R203" s="118">
        <v>276328994</v>
      </c>
      <c r="S203" s="118" t="s">
        <v>8</v>
      </c>
      <c r="T203" s="119">
        <v>276328994</v>
      </c>
      <c r="U203" s="120">
        <v>619138607</v>
      </c>
      <c r="V203" s="118" t="s">
        <v>8</v>
      </c>
      <c r="W203" s="119">
        <v>619138607</v>
      </c>
    </row>
    <row r="204" spans="2:23" x14ac:dyDescent="0.35">
      <c r="B204" s="19" t="s">
        <v>291</v>
      </c>
      <c r="C204" s="116"/>
      <c r="D204" s="116"/>
      <c r="E204" s="117"/>
      <c r="F204" s="116"/>
      <c r="G204" s="116"/>
      <c r="H204" s="117"/>
      <c r="I204" s="118"/>
      <c r="J204" s="118"/>
      <c r="K204" s="119"/>
      <c r="L204" s="118" t="s">
        <v>8</v>
      </c>
      <c r="M204" s="118" t="s">
        <v>8</v>
      </c>
      <c r="N204" s="119" t="s">
        <v>8</v>
      </c>
      <c r="O204" s="118">
        <v>37644400</v>
      </c>
      <c r="P204" s="118" t="s">
        <v>8</v>
      </c>
      <c r="Q204" s="119">
        <v>37644400</v>
      </c>
      <c r="R204" s="118">
        <v>213582098</v>
      </c>
      <c r="S204" s="118" t="s">
        <v>8</v>
      </c>
      <c r="T204" s="119">
        <v>213582098</v>
      </c>
      <c r="U204" s="120">
        <v>242441762</v>
      </c>
      <c r="V204" s="118" t="s">
        <v>8</v>
      </c>
      <c r="W204" s="119">
        <v>242441762</v>
      </c>
    </row>
    <row r="205" spans="2:23" x14ac:dyDescent="0.35">
      <c r="B205" s="1" t="s">
        <v>282</v>
      </c>
      <c r="C205" s="121">
        <v>52308047639</v>
      </c>
      <c r="D205" s="121">
        <v>59696223</v>
      </c>
      <c r="E205" s="122">
        <v>52367743862</v>
      </c>
      <c r="F205" s="121">
        <v>42411827719</v>
      </c>
      <c r="G205" s="121">
        <v>139933324</v>
      </c>
      <c r="H205" s="122">
        <v>42551761043</v>
      </c>
      <c r="I205" s="123">
        <v>70769405265</v>
      </c>
      <c r="J205" s="123">
        <v>1195533149</v>
      </c>
      <c r="K205" s="124">
        <v>71964938414</v>
      </c>
      <c r="L205" s="123">
        <v>81930296359</v>
      </c>
      <c r="M205" s="123">
        <v>2406471293</v>
      </c>
      <c r="N205" s="124">
        <v>84336767652</v>
      </c>
      <c r="O205" s="123">
        <v>69474887182</v>
      </c>
      <c r="P205" s="123">
        <v>1292933112</v>
      </c>
      <c r="Q205" s="124">
        <v>70767820294</v>
      </c>
      <c r="R205" s="123">
        <v>79447102626</v>
      </c>
      <c r="S205" s="123">
        <v>517380550</v>
      </c>
      <c r="T205" s="124">
        <v>79964483176</v>
      </c>
      <c r="U205" s="125">
        <v>76163270870</v>
      </c>
      <c r="V205" s="123">
        <v>754104699</v>
      </c>
      <c r="W205" s="124">
        <v>76917375569</v>
      </c>
    </row>
    <row r="206" spans="2:23" x14ac:dyDescent="0.35">
      <c r="B206" s="3" t="s">
        <v>283</v>
      </c>
      <c r="C206" s="116">
        <v>-594506746</v>
      </c>
      <c r="D206" s="116" t="s">
        <v>8</v>
      </c>
      <c r="E206" s="117">
        <v>-594506746</v>
      </c>
      <c r="F206" s="116">
        <v>-1472512776</v>
      </c>
      <c r="G206" s="116" t="s">
        <v>8</v>
      </c>
      <c r="H206" s="117">
        <v>-1472512776</v>
      </c>
      <c r="I206" s="118">
        <v>-2015012601</v>
      </c>
      <c r="J206" s="118" t="s">
        <v>8</v>
      </c>
      <c r="K206" s="119">
        <v>-2015012601</v>
      </c>
      <c r="L206" s="118">
        <v>-2655086368</v>
      </c>
      <c r="M206" s="118" t="s">
        <v>8</v>
      </c>
      <c r="N206" s="119">
        <v>-2655086368</v>
      </c>
      <c r="O206" s="118">
        <v>-4393548889</v>
      </c>
      <c r="P206" s="118" t="s">
        <v>8</v>
      </c>
      <c r="Q206" s="119">
        <v>-4393548889</v>
      </c>
      <c r="R206" s="118">
        <v>-4843328560</v>
      </c>
      <c r="S206" s="118" t="s">
        <v>8</v>
      </c>
      <c r="T206" s="119">
        <v>-4843328560</v>
      </c>
      <c r="U206" s="120">
        <v>-6094899866</v>
      </c>
      <c r="V206" s="118" t="s">
        <v>8</v>
      </c>
      <c r="W206" s="119">
        <v>-6094899866</v>
      </c>
    </row>
    <row r="207" spans="2:23" x14ac:dyDescent="0.35">
      <c r="B207" s="1" t="s">
        <v>284</v>
      </c>
      <c r="C207" s="121">
        <v>51713540893</v>
      </c>
      <c r="D207" s="121">
        <v>59696223</v>
      </c>
      <c r="E207" s="122">
        <v>51773237116</v>
      </c>
      <c r="F207" s="121">
        <v>40939314943</v>
      </c>
      <c r="G207" s="121">
        <v>139933324</v>
      </c>
      <c r="H207" s="122">
        <v>41079248267</v>
      </c>
      <c r="I207" s="123">
        <v>68754392664</v>
      </c>
      <c r="J207" s="123">
        <v>1195533149</v>
      </c>
      <c r="K207" s="124">
        <v>69949925813</v>
      </c>
      <c r="L207" s="123">
        <v>79275209991</v>
      </c>
      <c r="M207" s="123">
        <v>2406471293</v>
      </c>
      <c r="N207" s="124">
        <v>81681681284</v>
      </c>
      <c r="O207" s="123">
        <v>65081338293</v>
      </c>
      <c r="P207" s="123">
        <v>1292933112</v>
      </c>
      <c r="Q207" s="124">
        <v>66374271405</v>
      </c>
      <c r="R207" s="123">
        <v>74603774066</v>
      </c>
      <c r="S207" s="123">
        <v>517380550</v>
      </c>
      <c r="T207" s="124">
        <v>75121154616</v>
      </c>
      <c r="U207" s="125">
        <v>70068371004</v>
      </c>
      <c r="V207" s="123">
        <v>754104699</v>
      </c>
      <c r="W207" s="124">
        <v>70822475704</v>
      </c>
    </row>
    <row r="210" spans="2:3" x14ac:dyDescent="0.35">
      <c r="B210" s="2"/>
    </row>
    <row r="211" spans="2:3" x14ac:dyDescent="0.35">
      <c r="B211" s="2"/>
      <c r="C211" s="126"/>
    </row>
    <row r="212" spans="2:3" x14ac:dyDescent="0.35">
      <c r="B212" s="2"/>
    </row>
    <row r="213" spans="2:3" x14ac:dyDescent="0.35">
      <c r="B213" s="2"/>
    </row>
    <row r="214" spans="2:3" x14ac:dyDescent="0.35">
      <c r="B214" s="2"/>
    </row>
    <row r="215" spans="2:3" x14ac:dyDescent="0.35">
      <c r="B215" s="2"/>
    </row>
    <row r="218" spans="2:3" x14ac:dyDescent="0.35">
      <c r="B218" s="2"/>
    </row>
    <row r="219" spans="2:3" x14ac:dyDescent="0.35">
      <c r="B219" s="2"/>
    </row>
    <row r="220" spans="2:3" x14ac:dyDescent="0.35">
      <c r="B220" s="2"/>
    </row>
    <row r="221" spans="2:3" x14ac:dyDescent="0.35">
      <c r="B221" s="2"/>
    </row>
    <row r="222" spans="2:3" x14ac:dyDescent="0.35">
      <c r="B222" s="2"/>
    </row>
    <row r="223" spans="2:3" x14ac:dyDescent="0.35">
      <c r="B223" s="2"/>
    </row>
    <row r="224" spans="2:3" x14ac:dyDescent="0.35">
      <c r="B22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F2A59-04DA-423C-A549-9D0C1B8DDC57}">
  <dimension ref="A2:Q101"/>
  <sheetViews>
    <sheetView showGridLines="0" zoomScaleNormal="85" workbookViewId="0">
      <pane ySplit="3" topLeftCell="A4" activePane="bottomLeft" state="frozen"/>
      <selection pane="bottomLeft" activeCell="J5" sqref="J5"/>
    </sheetView>
  </sheetViews>
  <sheetFormatPr defaultColWidth="8.7265625" defaultRowHeight="14.5" x14ac:dyDescent="0.35"/>
  <cols>
    <col min="1" max="1" width="3.453125" style="2" customWidth="1"/>
    <col min="2" max="2" width="53" style="2" customWidth="1"/>
    <col min="3" max="7" width="9.54296875" style="2" customWidth="1"/>
    <col min="8" max="8" width="9.81640625" style="2" customWidth="1"/>
    <col min="9" max="9" width="9.81640625" customWidth="1"/>
    <col min="10" max="11" width="8.7265625" style="2" customWidth="1"/>
    <col min="12" max="16384" width="8.7265625" style="2"/>
  </cols>
  <sheetData>
    <row r="2" spans="1:9" ht="21" x14ac:dyDescent="0.5">
      <c r="B2" s="224" t="s">
        <v>131</v>
      </c>
      <c r="C2" s="224"/>
      <c r="D2" s="224"/>
      <c r="E2" s="224"/>
      <c r="F2" s="224"/>
      <c r="G2" s="224"/>
      <c r="H2" s="224"/>
      <c r="I2" s="224"/>
    </row>
    <row r="3" spans="1:9" x14ac:dyDescent="0.35">
      <c r="B3" s="72" t="s">
        <v>97</v>
      </c>
      <c r="C3" s="74">
        <v>2021</v>
      </c>
      <c r="D3" s="74">
        <v>2022</v>
      </c>
      <c r="E3" s="74">
        <v>2023</v>
      </c>
      <c r="F3" s="74">
        <v>2024</v>
      </c>
      <c r="G3" s="74">
        <v>2025</v>
      </c>
      <c r="H3" s="73" t="s">
        <v>148</v>
      </c>
      <c r="I3" s="73" t="s">
        <v>182</v>
      </c>
    </row>
    <row r="4" spans="1:9" x14ac:dyDescent="0.35">
      <c r="F4" s="15"/>
      <c r="G4" s="15"/>
      <c r="H4" s="15"/>
      <c r="I4" s="15" t="s">
        <v>113</v>
      </c>
    </row>
    <row r="5" spans="1:9" x14ac:dyDescent="0.35">
      <c r="A5" s="2" t="s">
        <v>96</v>
      </c>
      <c r="B5" s="69" t="s">
        <v>0</v>
      </c>
      <c r="C5" s="70"/>
      <c r="D5" s="70"/>
      <c r="E5" s="70"/>
      <c r="F5" s="70"/>
      <c r="G5" s="70"/>
      <c r="H5" s="70"/>
      <c r="I5" s="70"/>
    </row>
    <row r="6" spans="1:9" customFormat="1" x14ac:dyDescent="0.35">
      <c r="B6" s="142" t="s">
        <v>321</v>
      </c>
      <c r="C6" s="209">
        <f>IFERROR(Data!E188/10000000,0)</f>
        <v>6994.9925813</v>
      </c>
      <c r="D6" s="209">
        <f>IFERROR(Data!F188/10000000,0)</f>
        <v>8168.1681283999997</v>
      </c>
      <c r="E6" s="209">
        <f>IFERROR(Data!G188/10000000,0)</f>
        <v>6637.4271405</v>
      </c>
      <c r="F6" s="209">
        <f>IFERROR(Data!H188/10000000,0)</f>
        <v>7512.1154616000003</v>
      </c>
      <c r="G6" s="209">
        <f>IFERROR(Data!I188/10000000,0)</f>
        <v>7082.2475703999999</v>
      </c>
      <c r="H6" s="143"/>
      <c r="I6" s="146">
        <f t="shared" ref="I6:I25" si="0">AVERAGE(C6:G6)</f>
        <v>7278.9901764400001</v>
      </c>
    </row>
    <row r="7" spans="1:9" x14ac:dyDescent="0.35">
      <c r="B7" t="s">
        <v>102</v>
      </c>
      <c r="C7" s="145">
        <f>IFERROR(Data!E16/10000000,0)</f>
        <v>4351.5489526000001</v>
      </c>
      <c r="D7" s="145">
        <f>IFERROR(Data!F16/10000000,0)</f>
        <v>5514.6823463000001</v>
      </c>
      <c r="E7" s="145">
        <f>IFERROR(Data!G16/10000000,0)</f>
        <v>4302.2875678999999</v>
      </c>
      <c r="F7" s="145">
        <f>IFERROR(Data!H16/10000000,0)</f>
        <v>4647.3228347000004</v>
      </c>
      <c r="G7" s="145">
        <f>IFERROR(Data!I16/10000000,0)</f>
        <v>4529.1678431999999</v>
      </c>
      <c r="I7" s="146">
        <f t="shared" si="0"/>
        <v>4669.0019089400002</v>
      </c>
    </row>
    <row r="8" spans="1:9" x14ac:dyDescent="0.35">
      <c r="B8" s="8" t="s">
        <v>103</v>
      </c>
      <c r="C8" s="210">
        <f>IFERROR(Data!E17/10000000,0)</f>
        <v>2643.4436286999999</v>
      </c>
      <c r="D8" s="210">
        <f>IFERROR(Data!F17/10000000,0)</f>
        <v>2653.4857821000001</v>
      </c>
      <c r="E8" s="210">
        <f>IFERROR(Data!G17/10000000,0)</f>
        <v>2335.1395726000001</v>
      </c>
      <c r="F8" s="210">
        <f>IFERROR(Data!H17/10000000,0)</f>
        <v>2864.7926269</v>
      </c>
      <c r="G8" s="210">
        <f>IFERROR(Data!I17/10000000,0)</f>
        <v>2553.0797272</v>
      </c>
      <c r="I8" s="146">
        <f t="shared" si="0"/>
        <v>2609.9882674999999</v>
      </c>
    </row>
    <row r="9" spans="1:9" x14ac:dyDescent="0.35">
      <c r="B9" s="12" t="s">
        <v>3</v>
      </c>
      <c r="C9" s="16">
        <f>C10+C11</f>
        <v>708.91123400000004</v>
      </c>
      <c r="D9" s="16">
        <f>D10+D11</f>
        <v>918.45216660000006</v>
      </c>
      <c r="E9" s="16">
        <f>E10+E11</f>
        <v>778.29019619999997</v>
      </c>
      <c r="F9" s="16">
        <f>F10+F11</f>
        <v>985.09004440000001</v>
      </c>
      <c r="G9" s="16">
        <f>G10+G11</f>
        <v>1070.9513504000001</v>
      </c>
      <c r="I9" s="146">
        <f t="shared" si="0"/>
        <v>892.33899832000009</v>
      </c>
    </row>
    <row r="10" spans="1:9" x14ac:dyDescent="0.35">
      <c r="B10" t="s">
        <v>4</v>
      </c>
      <c r="C10" s="145">
        <f>IFERROR(Data!E19/10000000,0)</f>
        <v>600.47053640000001</v>
      </c>
      <c r="D10" s="145">
        <f>IFERROR(Data!F19/10000000,0)</f>
        <v>779.51902970000003</v>
      </c>
      <c r="E10" s="145">
        <f>IFERROR(Data!G19/10000000,0)</f>
        <v>640.92911179999999</v>
      </c>
      <c r="F10" s="145">
        <f>IFERROR(Data!H19/10000000,0)</f>
        <v>829.35180890000004</v>
      </c>
      <c r="G10" s="145">
        <f>IFERROR(Data!I19/10000000,0)</f>
        <v>901.43871030000003</v>
      </c>
      <c r="I10" s="146">
        <f t="shared" si="0"/>
        <v>750.34183942000004</v>
      </c>
    </row>
    <row r="11" spans="1:9" x14ac:dyDescent="0.35">
      <c r="B11" t="s">
        <v>5</v>
      </c>
      <c r="C11" s="145">
        <f>IFERROR(Data!E20/10000000,0)</f>
        <v>108.44069759999999</v>
      </c>
      <c r="D11" s="145">
        <f>IFERROR(Data!F20/10000000,0)</f>
        <v>138.93313689999999</v>
      </c>
      <c r="E11" s="145">
        <f>IFERROR(Data!G20/10000000,0)</f>
        <v>137.36108440000001</v>
      </c>
      <c r="F11" s="145">
        <f>IFERROR(Data!H20/10000000,0)</f>
        <v>155.7382355</v>
      </c>
      <c r="G11" s="145">
        <f>IFERROR(Data!I20/10000000,0)</f>
        <v>169.5126401</v>
      </c>
      <c r="I11" s="146">
        <f t="shared" si="0"/>
        <v>141.99715889999999</v>
      </c>
    </row>
    <row r="12" spans="1:9" x14ac:dyDescent="0.35">
      <c r="B12" s="8" t="s">
        <v>104</v>
      </c>
      <c r="C12" s="144">
        <f>C8-C9+C13</f>
        <v>2103.2939810999997</v>
      </c>
      <c r="D12" s="144">
        <f>D8-D9+D13</f>
        <v>1927.8944274</v>
      </c>
      <c r="E12" s="144">
        <f>E8-E9+E13</f>
        <v>1771.5468329</v>
      </c>
      <c r="F12" s="144">
        <f>F8-F9+F13</f>
        <v>2131.2984541999999</v>
      </c>
      <c r="G12" s="144">
        <f>G8-G9+G13</f>
        <v>1778.2094821999999</v>
      </c>
      <c r="I12" s="146">
        <f t="shared" si="0"/>
        <v>1942.4486355599997</v>
      </c>
    </row>
    <row r="13" spans="1:9" x14ac:dyDescent="0.35">
      <c r="B13" t="s">
        <v>117</v>
      </c>
      <c r="C13" s="145">
        <f>IFERROR((Data!E21+Data!E22)/10000000,0)</f>
        <v>168.7615864</v>
      </c>
      <c r="D13" s="145">
        <f>IFERROR((Data!F21+Data!F22)/10000000,0)</f>
        <v>192.86081189999999</v>
      </c>
      <c r="E13" s="145">
        <f>IFERROR((Data!G21+Data!G22)/10000000,0)</f>
        <v>214.69745649999999</v>
      </c>
      <c r="F13" s="145">
        <f>IFERROR((Data!H21+Data!H22)/10000000,0)</f>
        <v>251.5958717</v>
      </c>
      <c r="G13" s="145">
        <f>IFERROR((Data!I21+Data!I22)/10000000,0)</f>
        <v>296.08110540000001</v>
      </c>
      <c r="I13" s="146">
        <f t="shared" si="0"/>
        <v>224.79936637999998</v>
      </c>
    </row>
    <row r="14" spans="1:9" x14ac:dyDescent="0.35">
      <c r="B14" s="8" t="s">
        <v>266</v>
      </c>
      <c r="C14" s="144">
        <f>C12-C13</f>
        <v>1934.5323946999997</v>
      </c>
      <c r="D14" s="144">
        <f>D12-D13</f>
        <v>1735.0336155</v>
      </c>
      <c r="E14" s="144">
        <f>E12-E13</f>
        <v>1556.8493764</v>
      </c>
      <c r="F14" s="144">
        <f>F12-F13</f>
        <v>1879.7025824999998</v>
      </c>
      <c r="G14" s="144">
        <f>G12-G13</f>
        <v>1482.1283767999998</v>
      </c>
      <c r="I14" s="146">
        <f t="shared" si="0"/>
        <v>1717.6492691799999</v>
      </c>
    </row>
    <row r="15" spans="1:9" x14ac:dyDescent="0.35">
      <c r="B15" t="s">
        <v>267</v>
      </c>
      <c r="C15" s="145">
        <f>IFERROR(Data!E24/10000000,0)</f>
        <v>8.4330795999999992</v>
      </c>
      <c r="D15" s="145">
        <f>IFERROR(Data!F24/10000000,0)</f>
        <v>7.9765294000000004</v>
      </c>
      <c r="E15" s="145">
        <f>IFERROR(Data!G24/10000000,0)</f>
        <v>0</v>
      </c>
      <c r="F15" s="145">
        <f>IFERROR(Data!H24/10000000,0)</f>
        <v>0</v>
      </c>
      <c r="G15" s="145">
        <f>IFERROR(Data!I24/10000000,0)</f>
        <v>0</v>
      </c>
      <c r="I15" s="146">
        <f t="shared" si="0"/>
        <v>3.2819218000000001</v>
      </c>
    </row>
    <row r="16" spans="1:9" x14ac:dyDescent="0.35">
      <c r="B16" t="s">
        <v>9</v>
      </c>
      <c r="C16" s="145">
        <f>IFERROR(Data!E25/10000000,0)</f>
        <v>51.1456412</v>
      </c>
      <c r="D16" s="145">
        <f>IFERROR(Data!F25/10000000,0)</f>
        <v>27.057180500000001</v>
      </c>
      <c r="E16" s="145">
        <f>IFERROR(Data!G25/10000000,0)</f>
        <v>20.193012</v>
      </c>
      <c r="F16" s="145">
        <f>IFERROR(Data!H25/10000000,0)</f>
        <v>-9.4598251999999992</v>
      </c>
      <c r="G16" s="145">
        <f>IFERROR(Data!I25/10000000,0)</f>
        <v>26.6614954</v>
      </c>
      <c r="I16" s="146">
        <f t="shared" si="0"/>
        <v>23.119500779999999</v>
      </c>
    </row>
    <row r="17" spans="1:17" x14ac:dyDescent="0.35">
      <c r="B17" t="s">
        <v>10</v>
      </c>
      <c r="C17" s="145">
        <f>IFERROR(Data!E26/10000000,0)</f>
        <v>0</v>
      </c>
      <c r="D17" s="145">
        <f>IFERROR(Data!F26/10000000,0)</f>
        <v>0</v>
      </c>
      <c r="E17" s="145">
        <f>IFERROR(Data!G26/10000000,0)</f>
        <v>3.2175044000000002</v>
      </c>
      <c r="F17" s="145">
        <f>IFERROR(Data!H26/10000000,0)</f>
        <v>17.1221879</v>
      </c>
      <c r="G17" s="145">
        <f>IFERROR(Data!I26/10000000,0)</f>
        <v>29.0334678</v>
      </c>
      <c r="I17" s="146">
        <f t="shared" si="0"/>
        <v>9.87463202</v>
      </c>
    </row>
    <row r="18" spans="1:17" x14ac:dyDescent="0.35">
      <c r="B18" t="s">
        <v>11</v>
      </c>
      <c r="C18" s="145">
        <f>IFERROR(Data!E27/10000000,0)</f>
        <v>124.5679758</v>
      </c>
      <c r="D18" s="145">
        <f>IFERROR(Data!F27/10000000,0)</f>
        <v>473.83251059999998</v>
      </c>
      <c r="E18" s="145">
        <f>IFERROR(Data!G27/10000000,0)</f>
        <v>753.58559909999997</v>
      </c>
      <c r="F18" s="145">
        <f>IFERROR(Data!H27/10000000,0)</f>
        <v>459.12358360000002</v>
      </c>
      <c r="G18" s="145">
        <f>IFERROR(Data!I27/10000000,0)</f>
        <v>448.40387320000002</v>
      </c>
      <c r="I18" s="146">
        <f t="shared" si="0"/>
        <v>451.90270846000004</v>
      </c>
    </row>
    <row r="19" spans="1:17" x14ac:dyDescent="0.35">
      <c r="B19" s="8" t="s">
        <v>132</v>
      </c>
      <c r="C19" s="211">
        <f>IFERROR(Data!E28/10000000,0)</f>
        <v>1869.5434396999999</v>
      </c>
      <c r="D19" s="211">
        <f>IFERROR(Data!F28/10000000,0)</f>
        <v>1296.2348148000001</v>
      </c>
      <c r="E19" s="211">
        <f>IFERROR(Data!G28/10000000,0)</f>
        <v>826.97429369999998</v>
      </c>
      <c r="F19" s="211">
        <f>IFERROR(Data!H28/10000000,0)</f>
        <v>1428.2421615999999</v>
      </c>
      <c r="G19" s="211">
        <f>IFERROR(Data!I28/10000000,0)</f>
        <v>1089.4194666999999</v>
      </c>
      <c r="I19" s="146">
        <f t="shared" si="0"/>
        <v>1302.0828353000002</v>
      </c>
      <c r="J19" s="132"/>
    </row>
    <row r="20" spans="1:17" x14ac:dyDescent="0.35">
      <c r="B20" t="s">
        <v>133</v>
      </c>
      <c r="C20" s="212">
        <f>IFERROR(Data!E29/10000000,0)</f>
        <v>89.0258781</v>
      </c>
      <c r="D20" s="212">
        <f>IFERROR(Data!F29/10000000,0)</f>
        <v>61.725467399999999</v>
      </c>
      <c r="E20" s="212">
        <f>IFERROR(Data!G29/10000000,0)</f>
        <v>39.365446400000003</v>
      </c>
      <c r="F20" s="212">
        <f>IFERROR(Data!H29/10000000,0)</f>
        <v>68.011531500000004</v>
      </c>
      <c r="G20" s="212">
        <f>IFERROR(Data!I29/10000000,0)</f>
        <v>51.877117499999997</v>
      </c>
      <c r="I20" s="146">
        <f t="shared" si="0"/>
        <v>62.001088179999996</v>
      </c>
    </row>
    <row r="21" spans="1:17" x14ac:dyDescent="0.35">
      <c r="B21" s="8" t="s">
        <v>106</v>
      </c>
      <c r="C21" s="144">
        <f>C19-C20</f>
        <v>1780.5175615999999</v>
      </c>
      <c r="D21" s="144">
        <f>D19-D20</f>
        <v>1234.5093474</v>
      </c>
      <c r="E21" s="144">
        <f>E19-E20</f>
        <v>787.60884729999998</v>
      </c>
      <c r="F21" s="144">
        <f>F19-F20</f>
        <v>1360.2306300999999</v>
      </c>
      <c r="G21" s="144">
        <f>G19-G20</f>
        <v>1037.5423492</v>
      </c>
      <c r="I21" s="146">
        <f t="shared" si="0"/>
        <v>1240.08174712</v>
      </c>
    </row>
    <row r="22" spans="1:17" x14ac:dyDescent="0.35">
      <c r="B22" s="2" t="s">
        <v>107</v>
      </c>
      <c r="C22" s="145">
        <f>IFERROR(-Data!E31/10000000,0)</f>
        <v>141.31369050000001</v>
      </c>
      <c r="D22" s="145">
        <f>IFERROR(-Data!F31/10000000,0)</f>
        <v>17.894291800000001</v>
      </c>
      <c r="E22" s="145">
        <f>IFERROR(-Data!G31/10000000,0)</f>
        <v>4.6309265999999996</v>
      </c>
      <c r="F22" s="145">
        <f>IFERROR(-Data!H31/10000000,0)</f>
        <v>3.7046974000000001</v>
      </c>
      <c r="G22" s="145">
        <f>IFERROR(-Data!I31/10000000,0)</f>
        <v>0.92631289999999999</v>
      </c>
      <c r="I22" s="146">
        <f t="shared" si="0"/>
        <v>33.693983840000001</v>
      </c>
    </row>
    <row r="23" spans="1:17" x14ac:dyDescent="0.35">
      <c r="B23" s="8" t="s">
        <v>108</v>
      </c>
      <c r="C23" s="210">
        <f>IFERROR(Data!E34/10000000,0)</f>
        <v>1639.2038712000001</v>
      </c>
      <c r="D23" s="210">
        <f>IFERROR(Data!F34/10000000,0)</f>
        <v>1216.6150557000001</v>
      </c>
      <c r="E23" s="210">
        <f>IFERROR(Data!G34/10000000,0)</f>
        <v>782.67800050000005</v>
      </c>
      <c r="F23" s="210">
        <f>IFERROR(Data!H34/10000000,0)</f>
        <v>1356.5259327000001</v>
      </c>
      <c r="G23" s="210">
        <f>IFERROR(Data!I34/10000000,0)</f>
        <v>1036.6160364</v>
      </c>
      <c r="I23" s="146">
        <f t="shared" si="0"/>
        <v>1206.3277793000002</v>
      </c>
    </row>
    <row r="24" spans="1:17" x14ac:dyDescent="0.35">
      <c r="B24" s="2" t="s">
        <v>99</v>
      </c>
      <c r="C24" s="145">
        <f>IFERROR(Data!E79/10000000,0)</f>
        <v>30.292834299999999</v>
      </c>
      <c r="D24" s="145">
        <f>IFERROR(Data!F79/10000000,0)</f>
        <v>30.292834299999999</v>
      </c>
      <c r="E24" s="145">
        <f>IFERROR(Data!G79/10000000,0)</f>
        <v>30.292834299999999</v>
      </c>
      <c r="F24" s="145">
        <f>IFERROR(Data!H79/10000000,0)</f>
        <v>30.292834299999999</v>
      </c>
      <c r="G24" s="145">
        <f>IFERROR(Data!I79/10000000,0)</f>
        <v>30.292834299999999</v>
      </c>
      <c r="I24" s="146">
        <f t="shared" si="0"/>
        <v>30.292834299999999</v>
      </c>
    </row>
    <row r="25" spans="1:17" x14ac:dyDescent="0.35">
      <c r="B25" s="2" t="s">
        <v>109</v>
      </c>
      <c r="C25" s="16">
        <f>C23/C24</f>
        <v>54.111934689452291</v>
      </c>
      <c r="D25" s="16">
        <f>D23/D24</f>
        <v>40.161810006005283</v>
      </c>
      <c r="E25" s="16">
        <f>E23/E24</f>
        <v>25.837067365466034</v>
      </c>
      <c r="F25" s="16">
        <f>F23/F24</f>
        <v>44.780422962931539</v>
      </c>
      <c r="G25" s="16">
        <f>G23/G24</f>
        <v>34.219843086785708</v>
      </c>
      <c r="I25" s="146">
        <f t="shared" si="0"/>
        <v>39.822215622128169</v>
      </c>
    </row>
    <row r="26" spans="1:17" x14ac:dyDescent="0.35">
      <c r="B26" s="9" t="s">
        <v>110</v>
      </c>
      <c r="C26" s="10"/>
      <c r="D26" s="10">
        <f t="shared" ref="D26:G26" si="1">(D25-C25)/C25</f>
        <v>-0.25780125518532276</v>
      </c>
      <c r="E26" s="10">
        <f t="shared" si="1"/>
        <v>-0.3566757234894869</v>
      </c>
      <c r="F26" s="10">
        <f t="shared" si="1"/>
        <v>0.73318520749708993</v>
      </c>
      <c r="G26" s="10">
        <f t="shared" si="1"/>
        <v>-0.23583028424916164</v>
      </c>
      <c r="I26" s="10">
        <f>AVERAGE(C26:G26)</f>
        <v>-2.9280513856720342E-2</v>
      </c>
    </row>
    <row r="27" spans="1:17" x14ac:dyDescent="0.35">
      <c r="B27" s="2" t="s">
        <v>111</v>
      </c>
      <c r="C27" s="55">
        <f>IFERROR(Data!E80,0)</f>
        <v>25</v>
      </c>
      <c r="D27" s="55">
        <f>IFERROR(Data!F80,0)</f>
        <v>25</v>
      </c>
      <c r="E27" s="55">
        <f>IFERROR(Data!G80,0)</f>
        <v>30</v>
      </c>
      <c r="F27" s="55">
        <f>IFERROR(Data!H80,0)</f>
        <v>35</v>
      </c>
      <c r="G27" s="55">
        <f>IFERROR(Data!I80,0)</f>
        <v>17.5</v>
      </c>
      <c r="I27" s="146">
        <f>AVERAGE(C27:G27)</f>
        <v>26.5</v>
      </c>
    </row>
    <row r="28" spans="1:17" x14ac:dyDescent="0.35">
      <c r="B28" s="9" t="s">
        <v>112</v>
      </c>
      <c r="C28" s="10">
        <f>C27/C25</f>
        <v>0.4620052885463195</v>
      </c>
      <c r="D28" s="10">
        <f>D27/D25</f>
        <v>0.62248190498042344</v>
      </c>
      <c r="E28" s="10">
        <f>E27/E25</f>
        <v>1.1611224902443134</v>
      </c>
      <c r="F28" s="10">
        <f>F27/F25</f>
        <v>0.78159154568442546</v>
      </c>
      <c r="G28" s="10">
        <f>G27/G25</f>
        <v>0.51139918893309533</v>
      </c>
      <c r="I28" s="10">
        <f>AVERAGE(C28:G28)</f>
        <v>0.70772008367771533</v>
      </c>
    </row>
    <row r="29" spans="1:17" x14ac:dyDescent="0.35">
      <c r="B29" s="2" t="s">
        <v>34</v>
      </c>
      <c r="C29" s="10">
        <f>IFERROR(IF(C25&gt;C27,1-C28,0),0)</f>
        <v>0.5379947114536805</v>
      </c>
      <c r="D29" s="10">
        <f>IFERROR(IF(D25&gt;D27,1-D28,0),0)</f>
        <v>0.37751809501957656</v>
      </c>
      <c r="E29" s="10">
        <f>IFERROR(IF(E25&gt;E27,1-E28,0),0)</f>
        <v>0</v>
      </c>
      <c r="F29" s="10">
        <f>IFERROR(IF(F25&gt;F27,1-F28,0),0)</f>
        <v>0.21840845431557454</v>
      </c>
      <c r="G29" s="10">
        <f>IFERROR(IF(G25&gt;G27,1-G28,0),0)</f>
        <v>0.48860081106690467</v>
      </c>
      <c r="I29" s="10">
        <f>AVERAGE(C29:G29)</f>
        <v>0.32450441437114724</v>
      </c>
    </row>
    <row r="31" spans="1:17" x14ac:dyDescent="0.35">
      <c r="A31" s="2" t="s">
        <v>96</v>
      </c>
      <c r="B31" s="69" t="s">
        <v>18</v>
      </c>
      <c r="C31" s="70"/>
      <c r="D31" s="70"/>
      <c r="E31" s="70"/>
      <c r="F31" s="70"/>
      <c r="G31" s="70"/>
      <c r="H31" s="70"/>
      <c r="I31" s="71"/>
    </row>
    <row r="32" spans="1:17" x14ac:dyDescent="0.35">
      <c r="B32" s="12" t="s">
        <v>136</v>
      </c>
      <c r="C32"/>
      <c r="D32"/>
      <c r="E32"/>
      <c r="F32"/>
      <c r="G32"/>
      <c r="I32" s="146"/>
      <c r="K32"/>
      <c r="L32"/>
      <c r="M32"/>
      <c r="N32"/>
      <c r="O32"/>
      <c r="P32"/>
      <c r="Q32"/>
    </row>
    <row r="33" spans="2:17" x14ac:dyDescent="0.35">
      <c r="B33" t="s">
        <v>346</v>
      </c>
      <c r="C33" s="208">
        <f>IFERROR(Data!E53/10000000,0)</f>
        <v>370.38256569999999</v>
      </c>
      <c r="D33" s="208">
        <f>IFERROR(Data!F53/10000000,0)</f>
        <v>232.13656280000001</v>
      </c>
      <c r="E33" s="208">
        <f>IFERROR(Data!G53/10000000,0)</f>
        <v>241.7232161</v>
      </c>
      <c r="F33" s="208">
        <f>IFERROR(Data!H53/10000000,0)</f>
        <v>654.73263499999996</v>
      </c>
      <c r="G33" s="208">
        <f>IFERROR(Data!I53/10000000,0)</f>
        <v>506.54569800000002</v>
      </c>
      <c r="I33" s="146">
        <f>AVERAGE(C33:G33)</f>
        <v>401.10413552</v>
      </c>
      <c r="Q33"/>
    </row>
    <row r="34" spans="2:17" x14ac:dyDescent="0.35">
      <c r="B34" t="s">
        <v>478</v>
      </c>
      <c r="C34" s="208">
        <f>IFERROR(Data!E52/10000000,0)</f>
        <v>136.55492290000001</v>
      </c>
      <c r="D34" s="208">
        <f>IFERROR(Data!F52/10000000,0)</f>
        <v>27.821501000000001</v>
      </c>
      <c r="E34" s="208">
        <f>IFERROR(Data!G52/10000000,0)</f>
        <v>31.351301400000001</v>
      </c>
      <c r="F34" s="208">
        <f>IFERROR(Data!H52/10000000,0)</f>
        <v>30.585054</v>
      </c>
      <c r="G34" s="208">
        <f>IFERROR(Data!I52/10000000,0)</f>
        <v>29.732065899999998</v>
      </c>
      <c r="I34" s="146">
        <f t="shared" ref="I34:I39" si="2">AVERAGE(C34:G34)</f>
        <v>51.208969040000014</v>
      </c>
      <c r="Q34"/>
    </row>
    <row r="35" spans="2:17" x14ac:dyDescent="0.35">
      <c r="B35" t="s">
        <v>137</v>
      </c>
      <c r="C35" s="208">
        <f>IFERROR(Data!E49/10000000,0)</f>
        <v>3288.1935014999999</v>
      </c>
      <c r="D35" s="208">
        <f>IFERROR(Data!F49/10000000,0)</f>
        <v>4189.4178885000001</v>
      </c>
      <c r="E35" s="208">
        <f>IFERROR(Data!G49/10000000,0)</f>
        <v>3467.4948386000001</v>
      </c>
      <c r="F35" s="208">
        <f>IFERROR(Data!H49/10000000,0)</f>
        <v>3724.6629668999999</v>
      </c>
      <c r="G35" s="208">
        <f>IFERROR(Data!I49/10000000,0)</f>
        <v>3606.6239998999999</v>
      </c>
      <c r="I35" s="146">
        <f t="shared" si="2"/>
        <v>3655.2786390800002</v>
      </c>
      <c r="Q35"/>
    </row>
    <row r="36" spans="2:17" x14ac:dyDescent="0.35">
      <c r="B36" t="s">
        <v>347</v>
      </c>
      <c r="C36" s="208">
        <f>IFERROR(Data!E46/10000000,0)</f>
        <v>2413.0561864000001</v>
      </c>
      <c r="D36" s="208">
        <f>IFERROR(Data!F46/10000000,0)</f>
        <v>3619.7619159000001</v>
      </c>
      <c r="E36" s="208">
        <f>IFERROR(Data!G46/10000000,0)</f>
        <v>2557.3533341000002</v>
      </c>
      <c r="F36" s="208">
        <f>IFERROR(Data!H46/10000000,0)</f>
        <v>2618.2663524999998</v>
      </c>
      <c r="G36" s="208">
        <f>IFERROR(Data!I46/10000000,0)</f>
        <v>2964.8739753</v>
      </c>
      <c r="I36" s="146">
        <f t="shared" si="2"/>
        <v>2834.66235284</v>
      </c>
      <c r="Q36"/>
    </row>
    <row r="37" spans="2:17" x14ac:dyDescent="0.35">
      <c r="B37" t="s">
        <v>479</v>
      </c>
      <c r="C37" s="208">
        <f>IFERROR(Data!E51/10000000,0)</f>
        <v>500.89680720000001</v>
      </c>
      <c r="D37" s="208">
        <f>IFERROR(Data!F51/10000000,0)</f>
        <v>553.6502855</v>
      </c>
      <c r="E37" s="208">
        <f>IFERROR(Data!G51/10000000,0)</f>
        <v>551.76371140000003</v>
      </c>
      <c r="F37" s="208">
        <f>IFERROR(Data!H51/10000000,0)</f>
        <v>767.1704651</v>
      </c>
      <c r="G37" s="208">
        <f>IFERROR(Data!I51/10000000,0)</f>
        <v>148.61544739999999</v>
      </c>
      <c r="I37" s="146">
        <f t="shared" si="2"/>
        <v>504.41934332</v>
      </c>
      <c r="Q37"/>
    </row>
    <row r="38" spans="2:17" x14ac:dyDescent="0.35">
      <c r="B38" t="s">
        <v>138</v>
      </c>
      <c r="C38" s="208">
        <f>IFERROR(Data!E50/10000000,0)</f>
        <v>110.60228650000001</v>
      </c>
      <c r="D38" s="208">
        <f>IFERROR(Data!F50/10000000,0)</f>
        <v>118.6987977</v>
      </c>
      <c r="E38" s="208">
        <f>IFERROR(Data!G50/10000000,0)</f>
        <v>103.3741904</v>
      </c>
      <c r="F38" s="208">
        <f>IFERROR(Data!H50/10000000,0)</f>
        <v>77.828393199999994</v>
      </c>
      <c r="G38" s="208">
        <f>IFERROR(Data!I50/10000000,0)</f>
        <v>36.580020400000002</v>
      </c>
      <c r="I38" s="146">
        <f t="shared" si="2"/>
        <v>89.416737639999994</v>
      </c>
      <c r="Q38"/>
    </row>
    <row r="39" spans="2:17" x14ac:dyDescent="0.35">
      <c r="B39" s="12" t="s">
        <v>139</v>
      </c>
      <c r="C39" s="152">
        <f>SUM(C33:C38)</f>
        <v>6819.6862701999999</v>
      </c>
      <c r="D39" s="152">
        <f t="shared" ref="D39:G39" si="3">SUM(D33:D38)</f>
        <v>8741.4869514000002</v>
      </c>
      <c r="E39" s="152">
        <f t="shared" si="3"/>
        <v>6953.0605920000007</v>
      </c>
      <c r="F39" s="152">
        <f t="shared" si="3"/>
        <v>7873.2458667000001</v>
      </c>
      <c r="G39" s="152">
        <f t="shared" si="3"/>
        <v>7292.9712068999988</v>
      </c>
      <c r="I39" s="154">
        <f t="shared" si="2"/>
        <v>7536.0901774399999</v>
      </c>
      <c r="Q39"/>
    </row>
    <row r="40" spans="2:17" x14ac:dyDescent="0.35">
      <c r="B40" s="12" t="s">
        <v>134</v>
      </c>
      <c r="C40"/>
      <c r="D40"/>
      <c r="E40"/>
      <c r="F40"/>
      <c r="G40"/>
      <c r="I40" s="146"/>
      <c r="Q40"/>
    </row>
    <row r="41" spans="2:17" x14ac:dyDescent="0.35">
      <c r="B41" t="s">
        <v>349</v>
      </c>
      <c r="C41" s="208">
        <f>IFERROR(Data!E40/10000000,0)</f>
        <v>6229.5280025000002</v>
      </c>
      <c r="D41" s="208">
        <f>IFERROR(Data!F40/10000000,0)</f>
        <v>6547.5136943999996</v>
      </c>
      <c r="E41" s="208">
        <f>IFERROR(Data!G40/10000000,0)</f>
        <v>6882.4874693000002</v>
      </c>
      <c r="F41" s="208">
        <f>IFERROR(Data!H40/10000000,0)</f>
        <v>7086.3873952000004</v>
      </c>
      <c r="G41" s="208">
        <f>IFERROR(Data!I40/10000000,0)</f>
        <v>7718.0420323999997</v>
      </c>
      <c r="I41" s="146">
        <f t="shared" ref="I41:I69" si="4">AVERAGE(C41:G41)</f>
        <v>6892.7917187600005</v>
      </c>
      <c r="Q41"/>
    </row>
    <row r="42" spans="2:17" x14ac:dyDescent="0.35">
      <c r="B42" t="s">
        <v>350</v>
      </c>
      <c r="C42" s="208">
        <f>IFERROR(Data!E42/10000000,0)</f>
        <v>0</v>
      </c>
      <c r="D42" s="208">
        <f>IFERROR(Data!F42/10000000,0)</f>
        <v>20.768599399999999</v>
      </c>
      <c r="E42" s="208">
        <f>IFERROR(Data!G42/10000000,0)</f>
        <v>21.313627</v>
      </c>
      <c r="F42" s="208">
        <f>IFERROR(Data!H42/10000000,0)</f>
        <v>20.186695499999999</v>
      </c>
      <c r="G42" s="208">
        <f>IFERROR(Data!I42/10000000,0)</f>
        <v>21.172201099999999</v>
      </c>
      <c r="I42" s="146">
        <f t="shared" si="4"/>
        <v>16.688224599999998</v>
      </c>
      <c r="Q42"/>
    </row>
    <row r="43" spans="2:17" x14ac:dyDescent="0.35">
      <c r="B43" t="s">
        <v>135</v>
      </c>
      <c r="C43" s="208">
        <f>IFERROR(Data!E41/10000000,0)</f>
        <v>1.3362588</v>
      </c>
      <c r="D43" s="208">
        <f>IFERROR(Data!F41/10000000,0)</f>
        <v>1.305385</v>
      </c>
      <c r="E43" s="208">
        <f>IFERROR(Data!G41/10000000,0)</f>
        <v>1.9217454</v>
      </c>
      <c r="F43" s="208">
        <f>IFERROR(Data!H41/10000000,0)</f>
        <v>1.6019226</v>
      </c>
      <c r="G43" s="208">
        <f>IFERROR(Data!I41/10000000,0)</f>
        <v>4.6082638999999999</v>
      </c>
      <c r="I43" s="146">
        <f t="shared" si="4"/>
        <v>2.1547151399999995</v>
      </c>
      <c r="Q43"/>
    </row>
    <row r="44" spans="2:17" x14ac:dyDescent="0.35">
      <c r="B44" t="s">
        <v>480</v>
      </c>
      <c r="C44" s="208">
        <f>IFERROR(Data!E43/10000000,0)</f>
        <v>394.38023320000002</v>
      </c>
      <c r="D44" s="208">
        <f>IFERROR(Data!F43/10000000,0)</f>
        <v>644.61876580000001</v>
      </c>
      <c r="E44" s="208">
        <f>IFERROR(Data!G43/10000000,0)</f>
        <v>735.17362500000002</v>
      </c>
      <c r="F44" s="208">
        <f>IFERROR(Data!H43/10000000,0)</f>
        <v>743.79645749999997</v>
      </c>
      <c r="G44" s="208">
        <f>IFERROR(Data!I43/10000000,0)</f>
        <v>724.75993370000003</v>
      </c>
      <c r="I44" s="146">
        <f t="shared" si="4"/>
        <v>648.54580304000001</v>
      </c>
      <c r="Q44"/>
    </row>
    <row r="45" spans="2:17" x14ac:dyDescent="0.35">
      <c r="B45" s="12" t="s">
        <v>481</v>
      </c>
      <c r="C45" s="152">
        <f>SUM(C41:C44)</f>
        <v>6625.2444945000007</v>
      </c>
      <c r="D45" s="152">
        <f t="shared" ref="D45:G45" si="5">SUM(D41:D44)</f>
        <v>7214.2064445999995</v>
      </c>
      <c r="E45" s="152">
        <f t="shared" si="5"/>
        <v>7640.8964667000009</v>
      </c>
      <c r="F45" s="152">
        <f t="shared" si="5"/>
        <v>7851.9724707999994</v>
      </c>
      <c r="G45" s="152">
        <f t="shared" si="5"/>
        <v>8468.5824310999997</v>
      </c>
      <c r="I45" s="154">
        <f t="shared" si="4"/>
        <v>7560.1804615400006</v>
      </c>
      <c r="Q45"/>
    </row>
    <row r="46" spans="2:17" x14ac:dyDescent="0.35">
      <c r="B46" s="12" t="s">
        <v>178</v>
      </c>
      <c r="C46" s="152">
        <f>C39+C45</f>
        <v>13444.930764700001</v>
      </c>
      <c r="D46" s="152">
        <f>D39+D45</f>
        <v>15955.693395999999</v>
      </c>
      <c r="E46" s="152">
        <f>E39+E45</f>
        <v>14593.957058700002</v>
      </c>
      <c r="F46" s="152">
        <f>F39+F45</f>
        <v>15725.218337499999</v>
      </c>
      <c r="G46" s="152">
        <f>G39+G45</f>
        <v>15761.553637999998</v>
      </c>
      <c r="I46" s="154">
        <f t="shared" si="4"/>
        <v>15096.270638980001</v>
      </c>
    </row>
    <row r="47" spans="2:17" x14ac:dyDescent="0.35">
      <c r="B47" s="12" t="s">
        <v>143</v>
      </c>
      <c r="C47" s="12"/>
      <c r="D47" s="12"/>
      <c r="E47" s="12"/>
      <c r="F47" s="12"/>
      <c r="G47" s="12"/>
      <c r="H47" s="8"/>
      <c r="I47" s="154"/>
    </row>
    <row r="48" spans="2:17" x14ac:dyDescent="0.35">
      <c r="B48" t="s">
        <v>344</v>
      </c>
      <c r="C48" s="208">
        <f>IFERROR(Data!E68/10000000,0)</f>
        <v>292.33228459999998</v>
      </c>
      <c r="D48" s="208">
        <f>IFERROR(Data!F68/10000000,0)</f>
        <v>458.14572099999998</v>
      </c>
      <c r="E48" s="208">
        <f>IFERROR(Data!G68/10000000,0)</f>
        <v>305.80096900000001</v>
      </c>
      <c r="F48" s="208">
        <f>IFERROR(Data!H68/10000000,0)</f>
        <v>363.01135540000001</v>
      </c>
      <c r="G48" s="208">
        <f>IFERROR(Data!I68/10000000,0)</f>
        <v>240.30518040000001</v>
      </c>
      <c r="I48" s="146">
        <f t="shared" si="4"/>
        <v>331.91910207999996</v>
      </c>
      <c r="Q48"/>
    </row>
    <row r="49" spans="2:17" x14ac:dyDescent="0.35">
      <c r="B49" t="s">
        <v>345</v>
      </c>
      <c r="C49" s="208">
        <f>IFERROR(Data!E72/10000000,0)</f>
        <v>704.55801299999996</v>
      </c>
      <c r="D49" s="208">
        <f>IFERROR(Data!F72/10000000,0)</f>
        <v>626.12201140000002</v>
      </c>
      <c r="E49" s="208">
        <f>IFERROR(Data!G72/10000000,0)</f>
        <v>652.17448720000004</v>
      </c>
      <c r="F49" s="208">
        <f>IFERROR(Data!H72/10000000,0)</f>
        <v>790.42641619999995</v>
      </c>
      <c r="G49" s="208">
        <f>IFERROR(Data!I72/10000000,0)</f>
        <v>531.66137660000004</v>
      </c>
      <c r="I49" s="146">
        <f t="shared" si="4"/>
        <v>660.98846088000005</v>
      </c>
      <c r="Q49"/>
    </row>
    <row r="50" spans="2:17" x14ac:dyDescent="0.35">
      <c r="B50" t="s">
        <v>482</v>
      </c>
      <c r="C50" s="208">
        <f>IFERROR(Data!E69/10000000,0)</f>
        <v>2387.9414713000001</v>
      </c>
      <c r="D50" s="208">
        <f>IFERROR(Data!F69/10000000,0)</f>
        <v>4265.9073515999999</v>
      </c>
      <c r="E50" s="208">
        <f>IFERROR(Data!G69/10000000,0)</f>
        <v>2409.6051505999999</v>
      </c>
      <c r="F50" s="208">
        <f>IFERROR(Data!H69/10000000,0)</f>
        <v>2124.3601979</v>
      </c>
      <c r="G50" s="208">
        <f>IFERROR(Data!I69/10000000,0)</f>
        <v>1788.3976955999999</v>
      </c>
      <c r="I50" s="146">
        <f t="shared" si="4"/>
        <v>2595.2423733999999</v>
      </c>
      <c r="Q50"/>
    </row>
    <row r="51" spans="2:17" x14ac:dyDescent="0.35">
      <c r="B51" t="s">
        <v>351</v>
      </c>
      <c r="C51" s="208">
        <f>IFERROR(Data!E70/10000000,0)</f>
        <v>235.25440829999999</v>
      </c>
      <c r="D51" s="208">
        <f>IFERROR(Data!F70/10000000,0)</f>
        <v>133.12940739999999</v>
      </c>
      <c r="E51" s="208">
        <f>IFERROR(Data!G70/10000000,0)</f>
        <v>169.59513630000001</v>
      </c>
      <c r="F51" s="208">
        <f>IFERROR(Data!H70/10000000,0)</f>
        <v>251.32621159999999</v>
      </c>
      <c r="G51" s="208">
        <f>IFERROR(Data!I70/10000000,0)</f>
        <v>294.82175649999999</v>
      </c>
      <c r="I51" s="146">
        <f t="shared" si="4"/>
        <v>216.82538402</v>
      </c>
      <c r="Q51"/>
    </row>
    <row r="52" spans="2:17" x14ac:dyDescent="0.35">
      <c r="B52" t="s">
        <v>483</v>
      </c>
      <c r="C52" s="208">
        <f>IFERROR(Data!E71/10000000,0)</f>
        <v>0</v>
      </c>
      <c r="D52" s="208">
        <f>IFERROR(Data!F71/10000000,0)</f>
        <v>2.8394840000000001</v>
      </c>
      <c r="E52" s="208">
        <f>IFERROR(Data!G71/10000000,0)</f>
        <v>3.5666642</v>
      </c>
      <c r="F52" s="208">
        <f>IFERROR(Data!H71/10000000,0)</f>
        <v>4.1207818999999999</v>
      </c>
      <c r="G52" s="208">
        <f>IFERROR(Data!I71/10000000,0)</f>
        <v>3.9624404000000002</v>
      </c>
      <c r="I52" s="146">
        <f t="shared" si="4"/>
        <v>2.8978741000000001</v>
      </c>
      <c r="Q52"/>
    </row>
    <row r="53" spans="2:17" x14ac:dyDescent="0.35">
      <c r="B53" t="s">
        <v>47</v>
      </c>
      <c r="C53" s="208">
        <f>IFERROR(Data!E73/10000000,0)</f>
        <v>0.1547499</v>
      </c>
      <c r="D53" s="208">
        <f>IFERROR(Data!F73/10000000,0)</f>
        <v>0.28407769999999999</v>
      </c>
      <c r="E53" s="208">
        <f>IFERROR(Data!G73/10000000,0)</f>
        <v>0.37784780000000001</v>
      </c>
      <c r="F53" s="208">
        <f>IFERROR(Data!H73/10000000,0)</f>
        <v>0.57527830000000002</v>
      </c>
      <c r="G53" s="208">
        <f>IFERROR(Data!I73/10000000,0)</f>
        <v>0.74812529999999999</v>
      </c>
      <c r="I53" s="146">
        <f t="shared" si="4"/>
        <v>0.4280158</v>
      </c>
      <c r="Q53"/>
    </row>
    <row r="54" spans="2:17" x14ac:dyDescent="0.35">
      <c r="B54" s="12" t="s">
        <v>144</v>
      </c>
      <c r="C54" s="152">
        <f>SUM(C48:C53)</f>
        <v>3620.2409270999997</v>
      </c>
      <c r="D54" s="152">
        <f t="shared" ref="D54:G54" si="6">SUM(D48:D53)</f>
        <v>5486.4280531000004</v>
      </c>
      <c r="E54" s="152">
        <f t="shared" si="6"/>
        <v>3541.1202551000001</v>
      </c>
      <c r="F54" s="152">
        <f t="shared" si="6"/>
        <v>3533.8202412999999</v>
      </c>
      <c r="G54" s="152">
        <f t="shared" si="6"/>
        <v>2859.8965748000001</v>
      </c>
      <c r="I54" s="154">
        <f t="shared" si="4"/>
        <v>3808.3012102799999</v>
      </c>
      <c r="Q54"/>
    </row>
    <row r="55" spans="2:17" x14ac:dyDescent="0.35">
      <c r="B55" s="12" t="s">
        <v>141</v>
      </c>
      <c r="C55" s="12"/>
      <c r="D55" s="12"/>
      <c r="E55" s="12"/>
      <c r="F55" s="12"/>
      <c r="G55" s="12"/>
      <c r="H55" s="8"/>
      <c r="I55" s="154"/>
    </row>
    <row r="56" spans="2:17" x14ac:dyDescent="0.35">
      <c r="B56" t="s">
        <v>484</v>
      </c>
      <c r="C56" s="208">
        <f>IFERROR(Data!E63/10000000,0)</f>
        <v>341.39273120000001</v>
      </c>
      <c r="D56" s="208">
        <f>IFERROR(Data!F63/10000000,0)</f>
        <v>258.40658830000001</v>
      </c>
      <c r="E56" s="208">
        <f>IFERROR(Data!G63/10000000,0)</f>
        <v>514.43275659999995</v>
      </c>
      <c r="F56" s="208">
        <f>IFERROR(Data!H63/10000000,0)</f>
        <v>578.4668868</v>
      </c>
      <c r="G56" s="208">
        <f>IFERROR(Data!I63/10000000,0)</f>
        <v>562.55482210000002</v>
      </c>
      <c r="I56" s="146">
        <f t="shared" si="4"/>
        <v>451.05075699999998</v>
      </c>
      <c r="Q56"/>
    </row>
    <row r="57" spans="2:17" x14ac:dyDescent="0.35">
      <c r="B57" t="s">
        <v>352</v>
      </c>
      <c r="C57" s="208">
        <f>IFERROR(Data!E65/10000000,0)</f>
        <v>0</v>
      </c>
      <c r="D57" s="208">
        <f>IFERROR(Data!F65/10000000,0)</f>
        <v>18.9487463</v>
      </c>
      <c r="E57" s="208">
        <f>IFERROR(Data!G65/10000000,0)</f>
        <v>19.612007699999999</v>
      </c>
      <c r="F57" s="208">
        <f>IFERROR(Data!H65/10000000,0)</f>
        <v>18.695770899999999</v>
      </c>
      <c r="G57" s="208">
        <f>IFERROR(Data!I65/10000000,0)</f>
        <v>19.946937200000001</v>
      </c>
      <c r="I57" s="146">
        <f t="shared" si="4"/>
        <v>15.44069242</v>
      </c>
      <c r="Q57"/>
    </row>
    <row r="58" spans="2:17" x14ac:dyDescent="0.35">
      <c r="B58" t="s">
        <v>39</v>
      </c>
      <c r="C58" s="208">
        <f>IFERROR(Data!E64/10000000,0)</f>
        <v>36.546214399999997</v>
      </c>
      <c r="D58" s="208">
        <f>IFERROR(Data!F64/10000000,0)</f>
        <v>47.768312899999998</v>
      </c>
      <c r="E58" s="208">
        <f>IFERROR(Data!G64/10000000,0)</f>
        <v>98.945058000000003</v>
      </c>
      <c r="F58" s="208">
        <f>IFERROR(Data!H64/10000000,0)</f>
        <v>96.714629500000001</v>
      </c>
      <c r="G58" s="208">
        <f>IFERROR(Data!I64/10000000,0)</f>
        <v>201.94047370000001</v>
      </c>
      <c r="I58" s="146">
        <f t="shared" si="4"/>
        <v>96.382937699999999</v>
      </c>
      <c r="Q58"/>
    </row>
    <row r="59" spans="2:17" x14ac:dyDescent="0.35">
      <c r="B59" t="s">
        <v>40</v>
      </c>
      <c r="C59" s="208">
        <f>IFERROR(Data!E66/10000000,0)</f>
        <v>7.7603084000000004</v>
      </c>
      <c r="D59" s="208">
        <f>IFERROR(Data!F66/10000000,0)</f>
        <v>5.7116262000000004</v>
      </c>
      <c r="E59" s="208">
        <f>IFERROR(Data!G66/10000000,0)</f>
        <v>7.4329381000000003</v>
      </c>
      <c r="F59" s="208">
        <f>IFERROR(Data!H66/10000000,0)</f>
        <v>7.4068576000000004</v>
      </c>
      <c r="G59" s="208">
        <f>IFERROR(Data!I66/10000000,0)</f>
        <v>7.8824931999999999</v>
      </c>
      <c r="I59" s="146">
        <f t="shared" si="4"/>
        <v>7.2388446999999996</v>
      </c>
      <c r="Q59"/>
    </row>
    <row r="60" spans="2:17" x14ac:dyDescent="0.35">
      <c r="B60" s="12" t="s">
        <v>485</v>
      </c>
      <c r="C60" s="152">
        <f>SUM(C56:C59)</f>
        <v>385.699254</v>
      </c>
      <c r="D60" s="152">
        <f t="shared" ref="D60:G60" si="7">SUM(D56:D59)</f>
        <v>330.83527370000002</v>
      </c>
      <c r="E60" s="152">
        <f t="shared" si="7"/>
        <v>640.42276040000002</v>
      </c>
      <c r="F60" s="152">
        <f t="shared" si="7"/>
        <v>701.28414479999992</v>
      </c>
      <c r="G60" s="152">
        <f t="shared" si="7"/>
        <v>792.32472619999999</v>
      </c>
      <c r="I60" s="154">
        <f t="shared" si="4"/>
        <v>570.11323182000001</v>
      </c>
      <c r="Q60"/>
    </row>
    <row r="61" spans="2:17" x14ac:dyDescent="0.35">
      <c r="B61" s="12" t="s">
        <v>268</v>
      </c>
      <c r="C61" s="152">
        <f>C54+C60</f>
        <v>4005.9401810999998</v>
      </c>
      <c r="D61" s="152">
        <f>D54+D60</f>
        <v>5817.2633268000009</v>
      </c>
      <c r="E61" s="152">
        <f>E54+E60</f>
        <v>4181.5430155000004</v>
      </c>
      <c r="F61" s="152">
        <f>F54+F60</f>
        <v>4235.1043860999998</v>
      </c>
      <c r="G61" s="152">
        <f>G54+G60</f>
        <v>3652.221301</v>
      </c>
      <c r="I61" s="154">
        <f t="shared" si="4"/>
        <v>4378.4144421000001</v>
      </c>
    </row>
    <row r="62" spans="2:17" x14ac:dyDescent="0.35">
      <c r="B62" s="12" t="s">
        <v>353</v>
      </c>
      <c r="C62" s="12"/>
      <c r="D62" s="12"/>
      <c r="E62" s="12"/>
      <c r="F62" s="12"/>
      <c r="G62" s="12"/>
      <c r="H62" s="1"/>
      <c r="I62" s="154"/>
    </row>
    <row r="63" spans="2:17" x14ac:dyDescent="0.35">
      <c r="B63" t="s">
        <v>354</v>
      </c>
      <c r="C63" s="208">
        <f>IFERROR(Data!E56/10000000,0)</f>
        <v>302.92834299999998</v>
      </c>
      <c r="D63" s="208">
        <f>IFERROR(Data!F56/10000000,0)</f>
        <v>302.92834299999998</v>
      </c>
      <c r="E63" s="208">
        <f>IFERROR(Data!G56/10000000,0)</f>
        <v>302.92834299999998</v>
      </c>
      <c r="F63" s="208">
        <f>IFERROR(Data!H56/10000000,0)</f>
        <v>302.92834299999998</v>
      </c>
      <c r="G63" s="208">
        <f>IFERROR(Data!I56/10000000,0)</f>
        <v>302.92834299999998</v>
      </c>
      <c r="I63" s="146">
        <f t="shared" si="4"/>
        <v>302.92834299999998</v>
      </c>
    </row>
    <row r="64" spans="2:17" x14ac:dyDescent="0.35">
      <c r="B64" t="s">
        <v>486</v>
      </c>
      <c r="C64" s="208">
        <f>IFERROR(Data!E57/10000000,0)</f>
        <v>93.168371699999994</v>
      </c>
      <c r="D64" s="208">
        <f>IFERROR(Data!F57/10000000,0)</f>
        <v>93.168371699999994</v>
      </c>
      <c r="E64" s="208">
        <f>IFERROR(Data!G57/10000000,0)</f>
        <v>93.168371699999994</v>
      </c>
      <c r="F64" s="208">
        <f>IFERROR(Data!H57/10000000,0)</f>
        <v>93.168371699999994</v>
      </c>
      <c r="G64" s="208">
        <f>IFERROR(Data!I57/10000000,0)</f>
        <v>93.168371699999994</v>
      </c>
      <c r="I64" s="146">
        <f t="shared" si="4"/>
        <v>93.168371699999994</v>
      </c>
    </row>
    <row r="65" spans="1:17" x14ac:dyDescent="0.35">
      <c r="B65" t="s">
        <v>33</v>
      </c>
      <c r="C65" s="208">
        <f>IFERROR(Data!E58/10000000,0)</f>
        <v>3133.2448212999998</v>
      </c>
      <c r="D65" s="208">
        <f>IFERROR(Data!F58/10000000,0)</f>
        <v>3130.3390715999999</v>
      </c>
      <c r="E65" s="208">
        <f>IFERROR(Data!G58/10000000,0)</f>
        <v>3075.9669654999998</v>
      </c>
      <c r="F65" s="208">
        <f>IFERROR(Data!H58/10000000,0)</f>
        <v>3073.0612160000001</v>
      </c>
      <c r="G65" s="208">
        <f>IFERROR(Data!I58/10000000,0)</f>
        <v>3376.1916710999999</v>
      </c>
      <c r="I65" s="146">
        <f t="shared" si="4"/>
        <v>3157.7607490999999</v>
      </c>
    </row>
    <row r="66" spans="1:17" x14ac:dyDescent="0.35">
      <c r="B66" t="s">
        <v>34</v>
      </c>
      <c r="C66" s="208">
        <f>IFERROR(Data!E59/10000000,0)</f>
        <v>5909.6490475999999</v>
      </c>
      <c r="D66" s="208">
        <f>IFERROR(Data!F59/10000000,0)</f>
        <v>6611.9942829000001</v>
      </c>
      <c r="E66" s="208">
        <f>IFERROR(Data!G59/10000000,0)</f>
        <v>6940.3503629999996</v>
      </c>
      <c r="F66" s="208">
        <f>IFERROR(Data!H59/10000000,0)</f>
        <v>8020.9560207000004</v>
      </c>
      <c r="G66" s="208">
        <f>IFERROR(Data!I59/10000000,0)</f>
        <v>8337.0439511999994</v>
      </c>
      <c r="I66" s="146">
        <f t="shared" si="4"/>
        <v>7163.9987330799995</v>
      </c>
    </row>
    <row r="67" spans="1:17" x14ac:dyDescent="0.35">
      <c r="B67" s="12" t="s">
        <v>179</v>
      </c>
      <c r="C67" s="152">
        <f>SUM(C63:C66)</f>
        <v>9438.9905835999998</v>
      </c>
      <c r="D67" s="152">
        <f t="shared" ref="D67:G67" si="8">SUM(D63:D66)</f>
        <v>10138.4300692</v>
      </c>
      <c r="E67" s="152">
        <f t="shared" si="8"/>
        <v>10412.414043199999</v>
      </c>
      <c r="F67" s="152">
        <f t="shared" si="8"/>
        <v>11490.113951400001</v>
      </c>
      <c r="G67" s="152">
        <f t="shared" si="8"/>
        <v>12109.332337</v>
      </c>
      <c r="I67" s="154">
        <f t="shared" si="4"/>
        <v>10717.85619688</v>
      </c>
    </row>
    <row r="68" spans="1:17" x14ac:dyDescent="0.35">
      <c r="B68" s="12" t="s">
        <v>487</v>
      </c>
      <c r="C68" s="152">
        <f>C61+C67</f>
        <v>13444.930764699999</v>
      </c>
      <c r="D68" s="152">
        <f>D61+D67</f>
        <v>15955.693396000001</v>
      </c>
      <c r="E68" s="152">
        <f>E61+E67</f>
        <v>14593.957058699998</v>
      </c>
      <c r="F68" s="152">
        <f>F61+F67</f>
        <v>15725.2183375</v>
      </c>
      <c r="G68" s="152">
        <f>G61+G67</f>
        <v>15761.553637999999</v>
      </c>
      <c r="I68" s="154">
        <f t="shared" si="4"/>
        <v>15096.270638980001</v>
      </c>
    </row>
    <row r="69" spans="1:17" x14ac:dyDescent="0.35">
      <c r="B69" s="8" t="s">
        <v>181</v>
      </c>
      <c r="C69" s="145">
        <f>IFERROR(Data!E119/10000000,0)</f>
        <v>2964.5886108</v>
      </c>
      <c r="D69" s="145">
        <f>IFERROR(Data!F119/10000000,0)</f>
        <v>4679.2315775999996</v>
      </c>
      <c r="E69" s="145">
        <f>IFERROR(Data!G119/10000000,0)</f>
        <v>3116.8117154000001</v>
      </c>
      <c r="F69" s="145">
        <f>IFERROR(Data!H119/10000000,0)</f>
        <v>2976.9698490999999</v>
      </c>
      <c r="G69" s="145">
        <f>IFERROR(Data!I119/10000000,0)</f>
        <v>2669.6836518</v>
      </c>
      <c r="H69" s="1"/>
      <c r="I69" s="154">
        <f t="shared" si="4"/>
        <v>3281.4570809400002</v>
      </c>
    </row>
    <row r="70" spans="1:17" x14ac:dyDescent="0.35">
      <c r="B70" s="8"/>
      <c r="C70" s="16"/>
      <c r="D70" s="16"/>
      <c r="E70" s="16"/>
      <c r="F70" s="16"/>
      <c r="G70" s="16"/>
      <c r="H70" s="1"/>
      <c r="Q70"/>
    </row>
    <row r="71" spans="1:17" x14ac:dyDescent="0.35">
      <c r="A71" s="2" t="s">
        <v>96</v>
      </c>
      <c r="B71" s="69" t="s">
        <v>115</v>
      </c>
      <c r="C71" s="70"/>
      <c r="D71" s="70"/>
      <c r="E71" s="70"/>
      <c r="F71" s="70"/>
      <c r="G71" s="70"/>
      <c r="H71" s="70"/>
      <c r="I71" s="71"/>
    </row>
    <row r="72" spans="1:17" x14ac:dyDescent="0.35">
      <c r="B72" s="82" t="s">
        <v>338</v>
      </c>
      <c r="C72" s="145">
        <f>IFERROR(Data!C125/10000000,0)</f>
        <v>1639.2038711</v>
      </c>
      <c r="D72" s="145">
        <f>IFERROR(Data!D125/10000000,0)</f>
        <v>1216.6150557000001</v>
      </c>
      <c r="E72" s="145">
        <f>IFERROR(Data!E125/10000000,0)</f>
        <v>782.67800050000005</v>
      </c>
      <c r="F72" s="145">
        <f>IFERROR(Data!F125/10000000,0)</f>
        <v>1356.5259328</v>
      </c>
      <c r="G72" s="145">
        <f>IFERROR(Data!G125/10000000,0)</f>
        <v>1036.6160364</v>
      </c>
      <c r="I72" s="146">
        <f t="shared" ref="I72:I83" si="9">AVERAGE(C72:G72)</f>
        <v>1206.3277793</v>
      </c>
      <c r="Q72"/>
    </row>
    <row r="73" spans="1:17" x14ac:dyDescent="0.35">
      <c r="B73" s="82" t="s">
        <v>117</v>
      </c>
      <c r="C73" s="145">
        <f>IFERROR(SUM(Data!C126:C127)/10000000,0)</f>
        <v>168.76698640000001</v>
      </c>
      <c r="D73" s="145">
        <f>IFERROR(SUM(Data!D126:D127)/10000000,0)</f>
        <v>192.86081189999999</v>
      </c>
      <c r="E73" s="145">
        <f>IFERROR(SUM(Data!E126:E127)/10000000,0)</f>
        <v>214.69745649999999</v>
      </c>
      <c r="F73" s="145">
        <f>IFERROR(SUM(Data!F126:F127)/10000000,0)</f>
        <v>251.5958717</v>
      </c>
      <c r="G73" s="145">
        <f>IFERROR(SUM(Data!G126:G127)/10000000,0)</f>
        <v>296.08110540000001</v>
      </c>
      <c r="I73" s="146">
        <f t="shared" si="9"/>
        <v>224.80044637999998</v>
      </c>
      <c r="Q73"/>
    </row>
    <row r="74" spans="1:17" x14ac:dyDescent="0.35">
      <c r="B74" s="82" t="s">
        <v>429</v>
      </c>
      <c r="C74" s="145">
        <f>IFERROR(Data!C128/10000000,0)</f>
        <v>3.7066843</v>
      </c>
      <c r="D74" s="145">
        <f>IFERROR(Data!D128/10000000,0)</f>
        <v>4.0651336999999996</v>
      </c>
      <c r="E74" s="145">
        <f>IFERROR(Data!E128/10000000,0)</f>
        <v>4.8641547000000003</v>
      </c>
      <c r="F74" s="145">
        <f>IFERROR(Data!F128/10000000,0)</f>
        <v>44.6063829</v>
      </c>
      <c r="G74" s="145">
        <f>IFERROR(Data!G128/10000000,0)</f>
        <v>4.6711993999999999</v>
      </c>
      <c r="I74" s="146">
        <f t="shared" si="9"/>
        <v>12.382710999999999</v>
      </c>
      <c r="Q74"/>
    </row>
    <row r="75" spans="1:17" x14ac:dyDescent="0.35">
      <c r="B75" s="82" t="s">
        <v>430</v>
      </c>
      <c r="C75" s="145">
        <f>IFERROR(Data!C129/10000000,0)</f>
        <v>0</v>
      </c>
      <c r="D75" s="145">
        <f>IFERROR(Data!D129/10000000,0)</f>
        <v>0</v>
      </c>
      <c r="E75" s="145">
        <f>IFERROR(Data!E129/10000000,0)</f>
        <v>0</v>
      </c>
      <c r="F75" s="145">
        <f>IFERROR(Data!F129/10000000,0)</f>
        <v>0</v>
      </c>
      <c r="G75" s="145">
        <f>IFERROR(Data!G129/10000000,0)</f>
        <v>12.214957</v>
      </c>
      <c r="I75" s="146">
        <f t="shared" si="9"/>
        <v>2.4429913999999999</v>
      </c>
      <c r="Q75"/>
    </row>
    <row r="76" spans="1:17" x14ac:dyDescent="0.35">
      <c r="B76" s="82" t="s">
        <v>431</v>
      </c>
      <c r="C76" s="145">
        <f>IFERROR(Data!C130/10000000,0)</f>
        <v>-23.971152499999999</v>
      </c>
      <c r="D76" s="145">
        <f>IFERROR(Data!D130/10000000,0)</f>
        <v>7.0459151000000002</v>
      </c>
      <c r="E76" s="145">
        <f>IFERROR(Data!E130/10000000,0)</f>
        <v>1.7843367000000001</v>
      </c>
      <c r="F76" s="145">
        <f>IFERROR(Data!F130/10000000,0)</f>
        <v>23.6532564</v>
      </c>
      <c r="G76" s="145">
        <f>IFERROR(Data!G130/10000000,0)</f>
        <v>-2.0598817</v>
      </c>
      <c r="I76" s="146">
        <f t="shared" si="9"/>
        <v>1.2904948000000001</v>
      </c>
      <c r="Q76"/>
    </row>
    <row r="77" spans="1:17" x14ac:dyDescent="0.35">
      <c r="B77" s="82" t="s">
        <v>432</v>
      </c>
      <c r="C77" s="145">
        <f>IFERROR(Data!C131/10000000,0)</f>
        <v>41.305079599999999</v>
      </c>
      <c r="D77" s="145">
        <f>IFERROR(Data!D131/10000000,0)</f>
        <v>413.73747880000002</v>
      </c>
      <c r="E77" s="145">
        <f>IFERROR(Data!E131/10000000,0)</f>
        <v>723.91317700000002</v>
      </c>
      <c r="F77" s="145">
        <f>IFERROR(Data!F131/10000000,0)</f>
        <v>409.52959060000001</v>
      </c>
      <c r="G77" s="145">
        <f>IFERROR(Data!G131/10000000,0)</f>
        <v>397.3542066</v>
      </c>
      <c r="I77" s="146">
        <f t="shared" si="9"/>
        <v>397.16790651999997</v>
      </c>
      <c r="Q77"/>
    </row>
    <row r="78" spans="1:17" x14ac:dyDescent="0.35">
      <c r="B78" s="82" t="s">
        <v>411</v>
      </c>
      <c r="C78" s="145">
        <f>IFERROR(Data!C132/10000000,0)</f>
        <v>-939.52300430000003</v>
      </c>
      <c r="D78" s="145">
        <f>IFERROR(Data!D132/10000000,0)</f>
        <v>-901.81409389999999</v>
      </c>
      <c r="E78" s="145">
        <f>IFERROR(Data!E132/10000000,0)</f>
        <v>723.76025540000001</v>
      </c>
      <c r="F78" s="145">
        <f>IFERROR(Data!F132/10000000,0)</f>
        <v>-254.44946949999999</v>
      </c>
      <c r="G78" s="145">
        <f>IFERROR(Data!G132/10000000,0)</f>
        <v>159.01845420000001</v>
      </c>
      <c r="I78" s="146">
        <f t="shared" si="9"/>
        <v>-242.60157162000004</v>
      </c>
    </row>
    <row r="79" spans="1:17" x14ac:dyDescent="0.35">
      <c r="B79" s="82" t="s">
        <v>412</v>
      </c>
      <c r="C79" s="145">
        <f>IFERROR(Data!C133/10000000,0)</f>
        <v>-219.7305642</v>
      </c>
      <c r="D79" s="145">
        <f>IFERROR(Data!D133/10000000,0)</f>
        <v>-1206.7057295</v>
      </c>
      <c r="E79" s="145">
        <f>IFERROR(Data!E133/10000000,0)</f>
        <v>1062.4085818000001</v>
      </c>
      <c r="F79" s="145">
        <f>IFERROR(Data!F133/10000000,0)</f>
        <v>-60.913018399999999</v>
      </c>
      <c r="G79" s="145">
        <f>IFERROR(Data!G133/10000000,0)</f>
        <v>-346.6076228</v>
      </c>
      <c r="I79" s="146">
        <f t="shared" si="9"/>
        <v>-154.30967061999999</v>
      </c>
      <c r="Q79"/>
    </row>
    <row r="80" spans="1:17" x14ac:dyDescent="0.35">
      <c r="B80" s="82" t="s">
        <v>413</v>
      </c>
      <c r="C80" s="145">
        <f>IFERROR(Data!C134/10000000,0)</f>
        <v>105.1864827</v>
      </c>
      <c r="D80" s="145">
        <f>IFERROR(Data!D134/10000000,0)</f>
        <v>165.67773650000001</v>
      </c>
      <c r="E80" s="145">
        <f>IFERROR(Data!E134/10000000,0)</f>
        <v>-152.344752</v>
      </c>
      <c r="F80" s="145">
        <f>IFERROR(Data!F134/10000000,0)</f>
        <v>57.210386399999997</v>
      </c>
      <c r="G80" s="145">
        <f>IFERROR(Data!G134/10000000,0)</f>
        <v>-122.70617489999999</v>
      </c>
      <c r="I80" s="146">
        <f t="shared" si="9"/>
        <v>10.604735739999999</v>
      </c>
    </row>
    <row r="81" spans="2:16" x14ac:dyDescent="0.35">
      <c r="B81" s="82" t="s">
        <v>433</v>
      </c>
      <c r="C81" s="145">
        <f>IFERROR(Data!C135/10000000,0)</f>
        <v>0</v>
      </c>
      <c r="D81" s="145">
        <f>IFERROR(Data!D135/10000000,0)</f>
        <v>0</v>
      </c>
      <c r="E81" s="145">
        <f>IFERROR(Data!E135/10000000,0)</f>
        <v>0</v>
      </c>
      <c r="F81" s="145">
        <f>IFERROR(Data!F135/10000000,0)</f>
        <v>0</v>
      </c>
      <c r="G81" s="145">
        <f>IFERROR(Data!G135/10000000,0)</f>
        <v>-39.698996000000001</v>
      </c>
      <c r="I81" s="146">
        <f t="shared" si="9"/>
        <v>-7.9397992000000004</v>
      </c>
      <c r="L81" s="17"/>
      <c r="M81" s="17"/>
      <c r="N81" s="17"/>
      <c r="O81" s="17"/>
      <c r="P81" s="17"/>
    </row>
    <row r="82" spans="2:16" x14ac:dyDescent="0.35">
      <c r="B82" s="82" t="s">
        <v>434</v>
      </c>
      <c r="C82" s="145">
        <f>IFERROR(Data!C136/10000000,0)</f>
        <v>191.58947760000001</v>
      </c>
      <c r="D82" s="145">
        <f>IFERROR(Data!D136/10000000,0)</f>
        <v>-131.05377989999999</v>
      </c>
      <c r="E82" s="145">
        <f>IFERROR(Data!E136/10000000,0)</f>
        <v>26.253443499999999</v>
      </c>
      <c r="F82" s="145">
        <f>IFERROR(Data!F136/10000000,0)</f>
        <v>-102.1540873</v>
      </c>
      <c r="G82" s="145">
        <f>IFERROR(Data!G136/10000000,0)</f>
        <v>368.16659299999998</v>
      </c>
      <c r="I82" s="146">
        <f t="shared" si="9"/>
        <v>70.560329379999999</v>
      </c>
    </row>
    <row r="83" spans="2:16" x14ac:dyDescent="0.35">
      <c r="B83" s="148" t="s">
        <v>455</v>
      </c>
      <c r="C83" s="144">
        <f>SUM(C72:C82)</f>
        <v>966.53386069999988</v>
      </c>
      <c r="D83" s="144">
        <f>SUM(D72:D82)</f>
        <v>-239.57147159999991</v>
      </c>
      <c r="E83" s="144">
        <f>SUM(E72:E82)</f>
        <v>3388.0146541000004</v>
      </c>
      <c r="F83" s="144">
        <f>SUM(F72:F82)</f>
        <v>1725.6048456000001</v>
      </c>
      <c r="G83" s="144">
        <f>SUM(G72:G82)</f>
        <v>1763.0498765999998</v>
      </c>
      <c r="I83" s="146">
        <f t="shared" si="9"/>
        <v>1520.7263530800001</v>
      </c>
    </row>
    <row r="84" spans="2:16" x14ac:dyDescent="0.35">
      <c r="B84" s="82" t="s">
        <v>271</v>
      </c>
      <c r="C84" s="145">
        <f>IFERROR(Data!C139/10000000,0)</f>
        <v>-459.55298740000001</v>
      </c>
      <c r="D84" s="145">
        <f>IFERROR(Data!D139/10000000,0)</f>
        <v>-761.87803480000002</v>
      </c>
      <c r="E84" s="145">
        <f>IFERROR(Data!E139/10000000,0)</f>
        <v>-642.47735220000004</v>
      </c>
      <c r="F84" s="145">
        <f>IFERROR(Data!F139/10000000,0)</f>
        <v>-480.08757050000003</v>
      </c>
      <c r="G84" s="145">
        <f>IFERROR(Data!G139/10000000,0)</f>
        <v>-519.65591749999999</v>
      </c>
      <c r="I84" s="146">
        <f t="shared" ref="I84:I89" si="10">AVERAGE(C84:G84)</f>
        <v>-572.73037248000003</v>
      </c>
    </row>
    <row r="85" spans="2:16" x14ac:dyDescent="0.35">
      <c r="B85" s="82" t="s">
        <v>415</v>
      </c>
      <c r="C85" s="145">
        <f>IFERROR(Data!C140/10000000,0)</f>
        <v>11.754630799999999</v>
      </c>
      <c r="D85" s="145">
        <f>IFERROR(Data!D140/10000000,0)</f>
        <v>0.78504689999999999</v>
      </c>
      <c r="E85" s="145">
        <f>IFERROR(Data!E140/10000000,0)</f>
        <v>1.8922211</v>
      </c>
      <c r="F85" s="145">
        <f>IFERROR(Data!F140/10000000,0)</f>
        <v>0.49463679999999999</v>
      </c>
      <c r="G85" s="145">
        <f>IFERROR(Data!G140/10000000,0)</f>
        <v>5.8602399999999999E-2</v>
      </c>
      <c r="I85" s="146">
        <f t="shared" si="10"/>
        <v>2.9970276</v>
      </c>
    </row>
    <row r="86" spans="2:16" x14ac:dyDescent="0.35">
      <c r="B86" s="82" t="s">
        <v>416</v>
      </c>
      <c r="C86" s="145">
        <f>IFERROR(Data!C141/10000000,0)</f>
        <v>-0.1831593</v>
      </c>
      <c r="D86" s="145">
        <f>IFERROR(Data!D141/10000000,0)</f>
        <v>-0.36374879999999998</v>
      </c>
      <c r="E86" s="145">
        <f>IFERROR(Data!E141/10000000,0)</f>
        <v>-1.148884</v>
      </c>
      <c r="F86" s="145">
        <f>IFERROR(Data!F141/10000000,0)</f>
        <v>-0.38246140000000001</v>
      </c>
      <c r="G86" s="145">
        <f>IFERROR(Data!G141/10000000,0)</f>
        <v>-3.7926730000000002</v>
      </c>
      <c r="I86" s="146">
        <f t="shared" si="10"/>
        <v>-1.1741853</v>
      </c>
    </row>
    <row r="87" spans="2:16" x14ac:dyDescent="0.35">
      <c r="B87" s="82" t="s">
        <v>138</v>
      </c>
      <c r="C87" s="145">
        <f>IFERROR(Data!C142/10000000,0)</f>
        <v>-102.0012739</v>
      </c>
      <c r="D87" s="145">
        <f>IFERROR(Data!D142/10000000,0)</f>
        <v>93.590995599999999</v>
      </c>
      <c r="E87" s="145">
        <f>IFERROR(Data!E142/10000000,0)</f>
        <v>10.0104702</v>
      </c>
      <c r="F87" s="145">
        <f>IFERROR(Data!F142/10000000,0)</f>
        <v>2.6587882</v>
      </c>
      <c r="G87" s="145">
        <f>IFERROR(Data!G142/10000000,0)</f>
        <v>44.161242600000001</v>
      </c>
      <c r="I87" s="146">
        <f t="shared" si="10"/>
        <v>9.6840445399999986</v>
      </c>
    </row>
    <row r="88" spans="2:16" x14ac:dyDescent="0.35">
      <c r="B88" s="82" t="s">
        <v>339</v>
      </c>
      <c r="C88" s="145">
        <f>IFERROR(Data!C143/10000000,0)</f>
        <v>20.202402299999999</v>
      </c>
      <c r="D88" s="145">
        <f>IFERROR(Data!D143/10000000,0)</f>
        <v>20.7225486</v>
      </c>
      <c r="E88" s="145">
        <f>IFERROR(Data!E143/10000000,0)</f>
        <v>8.1418239000000003</v>
      </c>
      <c r="F88" s="145">
        <f>IFERROR(Data!F143/10000000,0)</f>
        <v>18.958533299999999</v>
      </c>
      <c r="G88" s="145">
        <f>IFERROR(Data!G143/10000000,0)</f>
        <v>36.1241634</v>
      </c>
      <c r="I88" s="146">
        <f t="shared" si="10"/>
        <v>20.829894299999999</v>
      </c>
    </row>
    <row r="89" spans="2:16" x14ac:dyDescent="0.35">
      <c r="B89" s="148" t="s">
        <v>456</v>
      </c>
      <c r="C89" s="144">
        <f>SUM(C84:C88)</f>
        <v>-529.78038750000007</v>
      </c>
      <c r="D89" s="144">
        <f t="shared" ref="D89:G89" si="11">SUM(D84:D88)</f>
        <v>-647.14319250000005</v>
      </c>
      <c r="E89" s="144">
        <f t="shared" si="11"/>
        <v>-623.58172100000002</v>
      </c>
      <c r="F89" s="144">
        <f t="shared" si="11"/>
        <v>-458.35807360000001</v>
      </c>
      <c r="G89" s="144">
        <f t="shared" si="11"/>
        <v>-443.10458210000002</v>
      </c>
      <c r="I89" s="146">
        <f t="shared" si="10"/>
        <v>-540.39359134000006</v>
      </c>
    </row>
    <row r="90" spans="2:16" x14ac:dyDescent="0.35">
      <c r="B90" s="82" t="s">
        <v>475</v>
      </c>
      <c r="C90" s="145">
        <f>IFERROR(Data!E113/10000000,0)</f>
        <v>139.27831069999999</v>
      </c>
      <c r="D90" s="145">
        <f>IFERROR(Data!F113/10000000,0)</f>
        <v>1877.9658803</v>
      </c>
      <c r="E90" s="145">
        <f>IFERROR(Data!G113/10000000,0)</f>
        <v>-1856.4035425</v>
      </c>
      <c r="F90" s="145">
        <f>IFERROR(Data!H113/10000000,0)</f>
        <v>-285.2449527</v>
      </c>
      <c r="G90" s="145">
        <f>IFERROR(Data!I113/10000000,0)</f>
        <v>-335.96250209999999</v>
      </c>
      <c r="I90" s="146">
        <f t="shared" ref="I90:I96" si="12">AVERAGE(C90:G90)</f>
        <v>-92.073361259999984</v>
      </c>
    </row>
    <row r="91" spans="2:16" x14ac:dyDescent="0.35">
      <c r="B91" s="82" t="s">
        <v>474</v>
      </c>
      <c r="C91" s="145">
        <f>IFERROR(Data!E109/10000000,0)</f>
        <v>-9.1645421999999996</v>
      </c>
      <c r="D91" s="145">
        <f>IFERROR(Data!F109/10000000,0)</f>
        <v>-185.11114380000001</v>
      </c>
      <c r="E91" s="145">
        <f>IFERROR(Data!G109/10000000,0)</f>
        <v>292.49189719999998</v>
      </c>
      <c r="F91" s="145">
        <f>IFERROR(Data!H109/10000000,0)</f>
        <v>145.7652057</v>
      </c>
      <c r="G91" s="145">
        <f>IFERROR(Data!I109/10000000,0)</f>
        <v>27.5834802</v>
      </c>
      <c r="I91" s="146">
        <f t="shared" si="12"/>
        <v>54.312979419999998</v>
      </c>
    </row>
    <row r="92" spans="2:16" x14ac:dyDescent="0.35">
      <c r="B92" s="82" t="s">
        <v>471</v>
      </c>
      <c r="C92" s="145">
        <f>IFERROR(Data!E111/10000000,0)</f>
        <v>0</v>
      </c>
      <c r="D92" s="145">
        <f>IFERROR(Data!F111/10000000,0)</f>
        <v>-3.5346058999999999</v>
      </c>
      <c r="E92" s="145">
        <f>IFERROR(Data!G111/10000000,0)</f>
        <v>-3.0258351000000001</v>
      </c>
      <c r="F92" s="145">
        <f>IFERROR(Data!H111/10000000,0)</f>
        <v>-3.7516805999999998</v>
      </c>
      <c r="G92" s="145">
        <f>IFERROR(Data!I111/10000000,0)</f>
        <v>-4.1340652000000002</v>
      </c>
      <c r="I92" s="146">
        <f t="shared" si="12"/>
        <v>-2.8892373600000001</v>
      </c>
    </row>
    <row r="93" spans="2:16" x14ac:dyDescent="0.35">
      <c r="B93" s="82" t="s">
        <v>340</v>
      </c>
      <c r="C93" s="145">
        <f>IFERROR(Data!C152/10000000,0)</f>
        <v>35.130934199999999</v>
      </c>
      <c r="D93" s="145">
        <f>IFERROR(Data!D152/10000000,0)</f>
        <v>0</v>
      </c>
      <c r="E93" s="145">
        <f>IFERROR(Data!E152/10000000,0)</f>
        <v>0</v>
      </c>
      <c r="F93" s="145">
        <f>IFERROR(Data!F152/10000000,0)</f>
        <v>0</v>
      </c>
      <c r="G93" s="145">
        <f>IFERROR(Data!G152/10000000,0)</f>
        <v>0</v>
      </c>
      <c r="I93" s="146">
        <f>AVERAGE(C93:G93)</f>
        <v>7.0261868399999994</v>
      </c>
    </row>
    <row r="94" spans="2:16" x14ac:dyDescent="0.35">
      <c r="B94" s="82" t="s">
        <v>421</v>
      </c>
      <c r="C94" s="145">
        <f>IFERROR(Data!C153/10000000,0)</f>
        <v>-230.70193610000001</v>
      </c>
      <c r="D94" s="145">
        <f>IFERROR(Data!D153/10000000,0)</f>
        <v>-517.32085749999999</v>
      </c>
      <c r="E94" s="145">
        <f>IFERROR(Data!E153/10000000,0)</f>
        <v>-457.27918749999998</v>
      </c>
      <c r="F94" s="145">
        <f>IFERROR(Data!F153/10000000,0)</f>
        <v>-279.05848470000001</v>
      </c>
      <c r="G94" s="145">
        <f>IFERROR(Data!G153/10000000,0)</f>
        <v>-723.6663155</v>
      </c>
      <c r="I94" s="146">
        <f t="shared" si="12"/>
        <v>-441.60535626000001</v>
      </c>
    </row>
    <row r="95" spans="2:16" x14ac:dyDescent="0.35">
      <c r="B95" s="82" t="s">
        <v>341</v>
      </c>
      <c r="C95" s="145">
        <f>IFERROR(Data!C154/10000000,0)</f>
        <v>-147.61160319999999</v>
      </c>
      <c r="D95" s="145">
        <f>IFERROR(Data!D154/10000000,0)</f>
        <v>-423.5306119</v>
      </c>
      <c r="E95" s="145">
        <f>IFERROR(Data!E154/10000000,0)</f>
        <v>-730.62961189999999</v>
      </c>
      <c r="F95" s="145">
        <f>IFERROR(Data!F154/10000000,0)</f>
        <v>-431.9474409</v>
      </c>
      <c r="G95" s="145">
        <f>IFERROR(Data!G154/10000000,0)</f>
        <v>-431.95282889999999</v>
      </c>
      <c r="I95" s="146">
        <f t="shared" si="12"/>
        <v>-433.13441935999998</v>
      </c>
    </row>
    <row r="96" spans="2:16" x14ac:dyDescent="0.35">
      <c r="B96" s="148" t="s">
        <v>457</v>
      </c>
      <c r="C96" s="144">
        <f>SUM(C90:C95)</f>
        <v>-213.0688366</v>
      </c>
      <c r="D96" s="144">
        <f>SUM(D90:D95)</f>
        <v>748.46866119999981</v>
      </c>
      <c r="E96" s="144">
        <f>SUM(E90:E95)</f>
        <v>-2754.8462798</v>
      </c>
      <c r="F96" s="144">
        <f>SUM(F90:F95)</f>
        <v>-854.23735319999992</v>
      </c>
      <c r="G96" s="144">
        <f>SUM(G90:G95)</f>
        <v>-1468.1322315</v>
      </c>
      <c r="I96" s="146">
        <f t="shared" si="12"/>
        <v>-908.36320797999997</v>
      </c>
    </row>
    <row r="97" spans="2:9" x14ac:dyDescent="0.35">
      <c r="B97" s="148" t="s">
        <v>443</v>
      </c>
      <c r="C97" s="144">
        <f>IFERROR(Data!C157/10000000,0)</f>
        <v>223.6846367</v>
      </c>
      <c r="D97" s="144">
        <f>IFERROR(Data!D157/10000000,0)</f>
        <v>-138.24600290000001</v>
      </c>
      <c r="E97" s="144">
        <f>IFERROR(Data!E157/10000000,0)</f>
        <v>9.5866533</v>
      </c>
      <c r="F97" s="144">
        <f>IFERROR(Data!F157/10000000,0)</f>
        <v>413.00941890000001</v>
      </c>
      <c r="G97" s="144">
        <f>IFERROR(Data!G157/10000000,0)</f>
        <v>-148.186937</v>
      </c>
      <c r="I97" s="146">
        <f>AVERAGE(C97:G97)</f>
        <v>71.9695538</v>
      </c>
    </row>
    <row r="98" spans="2:9" x14ac:dyDescent="0.35">
      <c r="B98" s="148" t="s">
        <v>458</v>
      </c>
      <c r="C98" s="210">
        <f>IFERROR(Data!D167/10000000,0)</f>
        <v>146.69792899999999</v>
      </c>
      <c r="D98" s="210">
        <f>IFERROR(Data!E167/10000000,0)</f>
        <v>370.38256560000002</v>
      </c>
      <c r="E98" s="210">
        <f>IFERROR(Data!F167/10000000,0)</f>
        <v>232.13656280000001</v>
      </c>
      <c r="F98" s="210">
        <f>IFERROR(Data!G167/10000000,0)</f>
        <v>241.7232161</v>
      </c>
      <c r="G98" s="210">
        <f>IFERROR(Data!H167/10000000,0)</f>
        <v>654.73263499999996</v>
      </c>
      <c r="I98" s="146">
        <f>AVERAGE(C98:G98)</f>
        <v>329.13458170000001</v>
      </c>
    </row>
    <row r="99" spans="2:9" x14ac:dyDescent="0.35">
      <c r="B99" s="148" t="s">
        <v>459</v>
      </c>
      <c r="C99" s="144">
        <f>C98+C97</f>
        <v>370.38256569999999</v>
      </c>
      <c r="D99" s="144">
        <f>D98+D97</f>
        <v>232.13656270000001</v>
      </c>
      <c r="E99" s="144">
        <f>E98+E97</f>
        <v>241.7232161</v>
      </c>
      <c r="F99" s="144">
        <f>F98+F97</f>
        <v>654.73263500000007</v>
      </c>
      <c r="G99" s="144">
        <f>G98+G97</f>
        <v>506.54569799999996</v>
      </c>
      <c r="I99" s="146">
        <f>AVERAGE(C99:G99)</f>
        <v>401.10413549999998</v>
      </c>
    </row>
    <row r="100" spans="2:9" x14ac:dyDescent="0.35">
      <c r="B100" s="26" t="s">
        <v>77</v>
      </c>
      <c r="C100" s="145">
        <f>IFERROR(Data!E118,0)</f>
        <v>31.96</v>
      </c>
      <c r="D100" s="145">
        <f>IFERROR(Data!F118,0)</f>
        <v>-7.91</v>
      </c>
      <c r="E100" s="145">
        <f>IFERROR(Data!G118,0)</f>
        <v>111.84</v>
      </c>
      <c r="F100" s="145">
        <f>IFERROR(Data!H118,0)</f>
        <v>56.96</v>
      </c>
      <c r="G100" s="145">
        <f>IFERROR(Data!I118,0)</f>
        <v>58.2</v>
      </c>
      <c r="I100" s="147">
        <f>AVERAGE(C100:G100)</f>
        <v>50.21</v>
      </c>
    </row>
    <row r="101" spans="2:9" x14ac:dyDescent="0.35">
      <c r="B101"/>
      <c r="C101"/>
      <c r="D101"/>
      <c r="E101"/>
      <c r="F101"/>
      <c r="G101"/>
      <c r="H101"/>
    </row>
  </sheetData>
  <mergeCells count="1">
    <mergeCell ref="B2:I2"/>
  </mergeCells>
  <pageMargins left="0.7" right="0.7" top="0.75" bottom="0.75" header="0.3" footer="0.3"/>
  <pageSetup orientation="portrait" horizontalDpi="1200" verticalDpi="1200" r:id="rId1"/>
  <ignoredErrors>
    <ignoredError sqref="C73:G73" formulaRange="1"/>
  </ignoredError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negative="1" xr2:uid="{39CBCBE8-5481-470F-903F-B28C57367A1C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FS'!C63:G63</xm:f>
              <xm:sqref>H63</xm:sqref>
            </x14:sparkline>
            <x14:sparkline>
              <xm:f>'Historical FS'!C64:G64</xm:f>
              <xm:sqref>H64</xm:sqref>
            </x14:sparkline>
            <x14:sparkline>
              <xm:f>'Historical FS'!C65:G65</xm:f>
              <xm:sqref>H65</xm:sqref>
            </x14:sparkline>
            <x14:sparkline>
              <xm:f>'Historical FS'!C66:G66</xm:f>
              <xm:sqref>H66</xm:sqref>
            </x14:sparkline>
            <x14:sparkline>
              <xm:f>'Historical FS'!C67:G67</xm:f>
              <xm:sqref>H67</xm:sqref>
            </x14:sparkline>
            <x14:sparkline>
              <xm:f>'Historical FS'!C68:G68</xm:f>
              <xm:sqref>H68</xm:sqref>
            </x14:sparkline>
          </x14:sparklines>
        </x14:sparklineGroup>
        <x14:sparklineGroup type="column" displayEmptyCellsAs="gap" high="1" negative="1" xr2:uid="{71CFE03D-4C69-4CA4-94DD-B520B869ABFA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FS'!C56:G56</xm:f>
              <xm:sqref>H56</xm:sqref>
            </x14:sparkline>
            <x14:sparkline>
              <xm:f>'Historical FS'!C57:G57</xm:f>
              <xm:sqref>H57</xm:sqref>
            </x14:sparkline>
            <x14:sparkline>
              <xm:f>'Historical FS'!C58:G58</xm:f>
              <xm:sqref>H58</xm:sqref>
            </x14:sparkline>
            <x14:sparkline>
              <xm:f>'Historical FS'!C59:G59</xm:f>
              <xm:sqref>H59</xm:sqref>
            </x14:sparkline>
            <x14:sparkline>
              <xm:f>'Historical FS'!C60:G60</xm:f>
              <xm:sqref>H60</xm:sqref>
            </x14:sparkline>
            <x14:sparkline>
              <xm:f>'Historical FS'!C61:G61</xm:f>
              <xm:sqref>H61</xm:sqref>
            </x14:sparkline>
          </x14:sparklines>
        </x14:sparklineGroup>
        <x14:sparklineGroup type="column" displayEmptyCellsAs="gap" high="1" negative="1" xr2:uid="{DF1B5A4F-2462-48CC-859A-3BE8FDD6AE7C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FS'!C48:G48</xm:f>
              <xm:sqref>H48</xm:sqref>
            </x14:sparkline>
            <x14:sparkline>
              <xm:f>'Historical FS'!C49:G49</xm:f>
              <xm:sqref>H49</xm:sqref>
            </x14:sparkline>
            <x14:sparkline>
              <xm:f>'Historical FS'!C50:G50</xm:f>
              <xm:sqref>H50</xm:sqref>
            </x14:sparkline>
            <x14:sparkline>
              <xm:f>'Historical FS'!C51:G51</xm:f>
              <xm:sqref>H51</xm:sqref>
            </x14:sparkline>
            <x14:sparkline>
              <xm:f>'Historical FS'!C52:G52</xm:f>
              <xm:sqref>H52</xm:sqref>
            </x14:sparkline>
            <x14:sparkline>
              <xm:f>'Historical FS'!C53:G53</xm:f>
              <xm:sqref>H53</xm:sqref>
            </x14:sparkline>
            <x14:sparkline>
              <xm:f>'Historical FS'!C54:G54</xm:f>
              <xm:sqref>H54</xm:sqref>
            </x14:sparkline>
          </x14:sparklines>
        </x14:sparklineGroup>
        <x14:sparklineGroup type="column" displayEmptyCellsAs="gap" high="1" negative="1" xr2:uid="{B2F97439-C7DE-4B35-BFC1-57FA49B607A1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FS'!C41:G41</xm:f>
              <xm:sqref>H41</xm:sqref>
            </x14:sparkline>
            <x14:sparkline>
              <xm:f>'Historical FS'!C42:G42</xm:f>
              <xm:sqref>H42</xm:sqref>
            </x14:sparkline>
            <x14:sparkline>
              <xm:f>'Historical FS'!C43:G43</xm:f>
              <xm:sqref>H43</xm:sqref>
            </x14:sparkline>
            <x14:sparkline>
              <xm:f>'Historical FS'!C44:G44</xm:f>
              <xm:sqref>H44</xm:sqref>
            </x14:sparkline>
            <x14:sparkline>
              <xm:f>'Historical FS'!C45:G45</xm:f>
              <xm:sqref>H45</xm:sqref>
            </x14:sparkline>
            <x14:sparkline>
              <xm:f>'Historical FS'!C46:G46</xm:f>
              <xm:sqref>H46</xm:sqref>
            </x14:sparkline>
          </x14:sparklines>
        </x14:sparklineGroup>
        <x14:sparklineGroup type="column" displayEmptyCellsAs="gap" high="1" negative="1" xr2:uid="{749577F2-ACD7-4C5F-AA18-6DD65BAAA247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FS'!C33:G33</xm:f>
              <xm:sqref>H33</xm:sqref>
            </x14:sparkline>
            <x14:sparkline>
              <xm:f>'Historical FS'!C34:G34</xm:f>
              <xm:sqref>H34</xm:sqref>
            </x14:sparkline>
            <x14:sparkline>
              <xm:f>'Historical FS'!C35:G35</xm:f>
              <xm:sqref>H35</xm:sqref>
            </x14:sparkline>
            <x14:sparkline>
              <xm:f>'Historical FS'!C36:G36</xm:f>
              <xm:sqref>H36</xm:sqref>
            </x14:sparkline>
            <x14:sparkline>
              <xm:f>'Historical FS'!C37:G37</xm:f>
              <xm:sqref>H37</xm:sqref>
            </x14:sparkline>
            <x14:sparkline>
              <xm:f>'Historical FS'!C38:G38</xm:f>
              <xm:sqref>H38</xm:sqref>
            </x14:sparkline>
            <x14:sparkline>
              <xm:f>'Historical FS'!C39:G39</xm:f>
              <xm:sqref>H39</xm:sqref>
            </x14:sparkline>
          </x14:sparklines>
        </x14:sparklineGroup>
        <x14:sparklineGroup type="column" displayEmptyCellsAs="gap" high="1" negative="1" xr2:uid="{20F54146-5C91-462D-BA34-080EB905305E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FS'!C7:G7</xm:f>
              <xm:sqref>H7</xm:sqref>
            </x14:sparkline>
          </x14:sparklines>
        </x14:sparklineGroup>
        <x14:sparklineGroup type="column" displayEmptyCellsAs="gap" high="1" negative="1" xr2:uid="{AE17E7DB-033C-4C77-9345-7F6DC45330E1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sqref>H47</xm:sqref>
            </x14:sparkline>
          </x14:sparklines>
        </x14:sparklineGroup>
        <x14:sparklineGroup type="column" displayEmptyCellsAs="gap" high="1" negative="1" xr2:uid="{92AA7ABC-E3C2-442D-BE1C-00147A056831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sqref>H40</xm:sqref>
            </x14:sparkline>
          </x14:sparklines>
        </x14:sparklineGroup>
        <x14:sparklineGroup type="column" displayEmptyCellsAs="gap" high="1" negative="1" xr2:uid="{FAE262EE-3FD5-4E91-959C-C9F9FBC4E107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FS'!C22:G22</xm:f>
              <xm:sqref>H22</xm:sqref>
            </x14:sparkline>
          </x14:sparklines>
        </x14:sparklineGroup>
        <x14:sparklineGroup type="column" displayEmptyCellsAs="gap" high="1" negative="1" xr2:uid="{787E6CC7-9FFD-4100-B9D4-8A9B0FC7C4B8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FS'!C21:G21</xm:f>
              <xm:sqref>H21</xm:sqref>
            </x14:sparkline>
          </x14:sparklines>
        </x14:sparklineGroup>
        <x14:sparklineGroup type="column" displayEmptyCellsAs="gap" high="1" negative="1" xr2:uid="{1E7ACD55-9B6B-4F06-9A2B-7E656198C030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FS'!C90:G90</xm:f>
              <xm:sqref>H90</xm:sqref>
            </x14:sparkline>
            <x14:sparkline>
              <xm:f>'Historical FS'!C91:G91</xm:f>
              <xm:sqref>H91</xm:sqref>
            </x14:sparkline>
            <x14:sparkline>
              <xm:f>'Historical FS'!C92:G92</xm:f>
              <xm:sqref>H92</xm:sqref>
            </x14:sparkline>
            <x14:sparkline>
              <xm:f>'Historical FS'!C93:G93</xm:f>
              <xm:sqref>H93</xm:sqref>
            </x14:sparkline>
            <x14:sparkline>
              <xm:f>'Historical FS'!C94:G94</xm:f>
              <xm:sqref>H94</xm:sqref>
            </x14:sparkline>
            <x14:sparkline>
              <xm:f>'Historical FS'!C95:G95</xm:f>
              <xm:sqref>H95</xm:sqref>
            </x14:sparkline>
            <x14:sparkline>
              <xm:f>'Historical FS'!C96:G96</xm:f>
              <xm:sqref>H96</xm:sqref>
            </x14:sparkline>
          </x14:sparklines>
        </x14:sparklineGroup>
        <x14:sparklineGroup type="column" displayEmptyCellsAs="gap" high="1" negative="1" xr2:uid="{17E29CED-0013-48EC-B093-250A66F88AE2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FS'!C20:G20</xm:f>
              <xm:sqref>H20</xm:sqref>
            </x14:sparkline>
          </x14:sparklines>
        </x14:sparklineGroup>
        <x14:sparklineGroup type="column" displayEmptyCellsAs="gap" high="1" negative="1" xr2:uid="{1F5726BC-3055-4E5B-B063-8F90BF77204E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FS'!C19:G19</xm:f>
              <xm:sqref>H19</xm:sqref>
            </x14:sparkline>
          </x14:sparklines>
        </x14:sparklineGroup>
        <x14:sparklineGroup type="column" displayEmptyCellsAs="gap" high="1" negative="1" xr2:uid="{EDD5D993-F11F-44E6-87C0-9C5B225C279F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FS'!C18:G18</xm:f>
              <xm:sqref>H18</xm:sqref>
            </x14:sparkline>
          </x14:sparklines>
        </x14:sparklineGroup>
        <x14:sparklineGroup type="column" displayEmptyCellsAs="gap" high="1" negative="1" xr2:uid="{5AA78024-6FF5-44F5-AB91-09EE372CA0E2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FS'!C8:G8</xm:f>
              <xm:sqref>H8</xm:sqref>
            </x14:sparkline>
          </x14:sparklines>
        </x14:sparklineGroup>
        <x14:sparklineGroup type="column" displayEmptyCellsAs="gap" high="1" negative="1" xr2:uid="{7D3150DD-A297-4513-83B9-121F120AE5F7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FS'!C9:G9</xm:f>
              <xm:sqref>H9</xm:sqref>
            </x14:sparkline>
          </x14:sparklines>
        </x14:sparklineGroup>
        <x14:sparklineGroup type="column" displayEmptyCellsAs="gap" high="1" negative="1" xr2:uid="{527D1F18-AD84-45B0-A500-A7A4742C3FB9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FS'!C11:G11</xm:f>
              <xm:sqref>H11</xm:sqref>
            </x14:sparkline>
          </x14:sparklines>
        </x14:sparklineGroup>
        <x14:sparklineGroup type="column" displayEmptyCellsAs="gap" high="1" negative="1" xr2:uid="{80C7FA03-B06B-444E-A3A3-C97615F94704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FS'!C12:G12</xm:f>
              <xm:sqref>H12</xm:sqref>
            </x14:sparkline>
          </x14:sparklines>
        </x14:sparklineGroup>
        <x14:sparklineGroup type="column" displayEmptyCellsAs="gap" high="1" negative="1" xr2:uid="{70B8C6EA-EED1-44D9-940D-D8E5C9325A64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FS'!C17:G17</xm:f>
              <xm:sqref>H17</xm:sqref>
            </x14:sparkline>
          </x14:sparklines>
        </x14:sparklineGroup>
        <x14:sparklineGroup type="column" displayEmptyCellsAs="gap" high="1" negative="1" xr2:uid="{2BEED46F-66C2-4D51-A011-0B662E4A7CD1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FS'!C97:G97</xm:f>
              <xm:sqref>H97</xm:sqref>
            </x14:sparkline>
          </x14:sparklines>
        </x14:sparklineGroup>
        <x14:sparklineGroup type="column" displayEmptyCellsAs="gap" high="1" negative="1" xr2:uid="{D204CFBC-7EF2-40ED-BEDE-FEA0662A5459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FS'!C15:G15</xm:f>
              <xm:sqref>H15</xm:sqref>
            </x14:sparkline>
          </x14:sparklines>
        </x14:sparklineGroup>
        <x14:sparklineGroup type="column" displayEmptyCellsAs="gap" high="1" negative="1" xr2:uid="{2064FDDD-ADAD-44ED-8A97-D846A30A5B3C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FS'!C16:G16</xm:f>
              <xm:sqref>H16</xm:sqref>
            </x14:sparkline>
          </x14:sparklines>
        </x14:sparklineGroup>
        <x14:sparklineGroup type="column" displayEmptyCellsAs="gap" high="1" negative="1" xr2:uid="{44486C9B-3238-40D3-8FB6-6E467B05C368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FS'!C14:G14</xm:f>
              <xm:sqref>H14</xm:sqref>
            </x14:sparkline>
          </x14:sparklines>
        </x14:sparklineGroup>
        <x14:sparklineGroup type="column" displayEmptyCellsAs="gap" high="1" negative="1" xr2:uid="{23C61282-E193-4E10-AD31-27481B51D708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FS'!C25:G25</xm:f>
              <xm:sqref>H25</xm:sqref>
            </x14:sparkline>
            <x14:sparkline>
              <xm:f>'Historical FS'!C26:G26</xm:f>
              <xm:sqref>H26</xm:sqref>
            </x14:sparkline>
          </x14:sparklines>
        </x14:sparklineGroup>
        <x14:sparklineGroup type="column" displayEmptyCellsAs="gap" high="1" negative="1" xr2:uid="{808BE6D9-7E38-4A61-9940-4389291FF65E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FS'!C27:G27</xm:f>
              <xm:sqref>H27</xm:sqref>
            </x14:sparkline>
            <x14:sparkline>
              <xm:f>'Historical FS'!C28:G28</xm:f>
              <xm:sqref>H28</xm:sqref>
            </x14:sparkline>
            <x14:sparkline>
              <xm:f>'Historical FS'!C29:G29</xm:f>
              <xm:sqref>H29</xm:sqref>
            </x14:sparkline>
          </x14:sparklines>
        </x14:sparklineGroup>
        <x14:sparklineGroup type="column" displayEmptyCellsAs="gap" high="1" negative="1" xr2:uid="{7953C4E7-42F9-4785-BDBE-A0B67907B15D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FS'!C24:G24</xm:f>
              <xm:sqref>H24</xm:sqref>
            </x14:sparkline>
          </x14:sparklines>
        </x14:sparklineGroup>
        <x14:sparklineGroup type="column" displayEmptyCellsAs="gap" high="1" negative="1" xr2:uid="{906BDA41-833A-4E05-A807-9EB0928101BE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FS'!C23:G23</xm:f>
              <xm:sqref>H23</xm:sqref>
            </x14:sparkline>
          </x14:sparklines>
        </x14:sparklineGroup>
        <x14:sparklineGroup type="column" displayEmptyCellsAs="gap" high="1" negative="1" xr2:uid="{626B00E9-718A-422E-91EB-50D922C91C48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sqref>H32</xm:sqref>
            </x14:sparkline>
          </x14:sparklines>
        </x14:sparklineGroup>
        <x14:sparklineGroup type="column" displayEmptyCellsAs="gap" high="1" negative="1" xr2:uid="{7CDEB409-21B0-4FF6-A477-14B5602FF045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FS'!C98:G98</xm:f>
              <xm:sqref>H98</xm:sqref>
            </x14:sparkline>
            <x14:sparkline>
              <xm:f>'Historical FS'!C99:G99</xm:f>
              <xm:sqref>H99</xm:sqref>
            </x14:sparkline>
            <x14:sparkline>
              <xm:f>'Historical FS'!C100:G100</xm:f>
              <xm:sqref>H100</xm:sqref>
            </x14:sparkline>
          </x14:sparklines>
        </x14:sparklineGroup>
        <x14:sparklineGroup type="column" displayEmptyCellsAs="gap" high="1" negative="1" xr2:uid="{EB4C88ED-29C1-46D7-A748-4E70E2A54F00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sqref>H55</xm:sqref>
            </x14:sparkline>
          </x14:sparklines>
        </x14:sparklineGroup>
        <x14:sparklineGroup type="column" displayEmptyCellsAs="gap" high="1" negative="1" xr2:uid="{E153BE6D-ED2F-44B4-8778-25E045268AE9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FS'!C10:G10</xm:f>
              <xm:sqref>H10</xm:sqref>
            </x14:sparkline>
          </x14:sparklines>
        </x14:sparklineGroup>
        <x14:sparklineGroup type="column" displayEmptyCellsAs="gap" high="1" negative="1" xr2:uid="{A3917415-515F-4D5B-B923-5B11AF6454A0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sqref>H62</xm:sqref>
            </x14:sparkline>
            <x14:sparkline>
              <xm:f>'Historical FS'!C69:G69</xm:f>
              <xm:sqref>H69</xm:sqref>
            </x14:sparkline>
            <x14:sparkline>
              <xm:f>'Historical FS'!C70:G70</xm:f>
              <xm:sqref>H70</xm:sqref>
            </x14:sparkline>
          </x14:sparklines>
        </x14:sparklineGroup>
        <x14:sparklineGroup type="column" displayEmptyCellsAs="gap" high="1" negative="1" xr2:uid="{71A2123C-2031-4282-999B-7ED6356B6428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FS'!C72:G72</xm:f>
              <xm:sqref>H72</xm:sqref>
            </x14:sparkline>
            <x14:sparkline>
              <xm:f>'Historical FS'!C73:G73</xm:f>
              <xm:sqref>H73</xm:sqref>
            </x14:sparkline>
            <x14:sparkline>
              <xm:f>'Historical FS'!C74:G74</xm:f>
              <xm:sqref>H74</xm:sqref>
            </x14:sparkline>
            <x14:sparkline>
              <xm:f>'Historical FS'!C75:G75</xm:f>
              <xm:sqref>H75</xm:sqref>
            </x14:sparkline>
            <x14:sparkline>
              <xm:f>'Historical FS'!C76:G76</xm:f>
              <xm:sqref>H76</xm:sqref>
            </x14:sparkline>
            <x14:sparkline>
              <xm:f>'Historical FS'!C77:G77</xm:f>
              <xm:sqref>H77</xm:sqref>
            </x14:sparkline>
            <x14:sparkline>
              <xm:f>'Historical FS'!C78:G78</xm:f>
              <xm:sqref>H78</xm:sqref>
            </x14:sparkline>
            <x14:sparkline>
              <xm:f>'Historical FS'!C79:G79</xm:f>
              <xm:sqref>H79</xm:sqref>
            </x14:sparkline>
            <x14:sparkline>
              <xm:f>'Historical FS'!C80:G80</xm:f>
              <xm:sqref>H80</xm:sqref>
            </x14:sparkline>
            <x14:sparkline>
              <xm:f>'Historical FS'!C81:G81</xm:f>
              <xm:sqref>H81</xm:sqref>
            </x14:sparkline>
            <x14:sparkline>
              <xm:f>'Historical FS'!C82:G82</xm:f>
              <xm:sqref>H82</xm:sqref>
            </x14:sparkline>
            <x14:sparkline>
              <xm:f>'Historical FS'!C83:G83</xm:f>
              <xm:sqref>H83</xm:sqref>
            </x14:sparkline>
          </x14:sparklines>
        </x14:sparklineGroup>
        <x14:sparklineGroup type="column" displayEmptyCellsAs="gap" high="1" negative="1" xr2:uid="{C6E44FFD-2282-4EB2-8223-BECAD8819626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FS'!C84:G84</xm:f>
              <xm:sqref>H84</xm:sqref>
            </x14:sparkline>
            <x14:sparkline>
              <xm:f>'Historical FS'!C85:G85</xm:f>
              <xm:sqref>H85</xm:sqref>
            </x14:sparkline>
            <x14:sparkline>
              <xm:f>'Historical FS'!C86:G86</xm:f>
              <xm:sqref>H86</xm:sqref>
            </x14:sparkline>
            <x14:sparkline>
              <xm:f>'Historical FS'!C87:G87</xm:f>
              <xm:sqref>H87</xm:sqref>
            </x14:sparkline>
            <x14:sparkline>
              <xm:f>'Historical FS'!C88:G88</xm:f>
              <xm:sqref>H88</xm:sqref>
            </x14:sparkline>
            <x14:sparkline>
              <xm:f>'Historical FS'!C89:G89</xm:f>
              <xm:sqref>H89</xm:sqref>
            </x14:sparkline>
          </x14:sparklines>
        </x14:sparklineGroup>
        <x14:sparklineGroup type="column" displayEmptyCellsAs="gap" high="1" negative="1" xr2:uid="{BB7F6589-C47A-4D4C-ABC8-88B31EE96FCA}">
          <x14:colorSeries rgb="FF32323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'Historical FS'!C6:G6</xm:f>
              <xm:sqref>H6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48A0-2048-4115-9898-7977E605F7BA}">
  <dimension ref="B2:Q31"/>
  <sheetViews>
    <sheetView showGridLines="0" zoomScaleNormal="100" workbookViewId="0">
      <selection activeCell="B4" sqref="B4"/>
    </sheetView>
  </sheetViews>
  <sheetFormatPr defaultRowHeight="14.5" x14ac:dyDescent="0.35"/>
  <cols>
    <col min="1" max="1" width="2.1796875" customWidth="1"/>
    <col min="2" max="2" width="32.08984375" customWidth="1"/>
    <col min="3" max="4" width="10.7265625" bestFit="1" customWidth="1"/>
    <col min="5" max="5" width="11.453125" bestFit="1" customWidth="1"/>
    <col min="6" max="6" width="11.6328125" customWidth="1"/>
    <col min="7" max="7" width="12.7265625" bestFit="1" customWidth="1"/>
    <col min="8" max="8" width="9.7265625" bestFit="1" customWidth="1"/>
    <col min="9" max="9" width="10.7265625" bestFit="1" customWidth="1"/>
    <col min="10" max="17" width="9.7265625" bestFit="1" customWidth="1"/>
  </cols>
  <sheetData>
    <row r="2" spans="2:17" ht="21" x14ac:dyDescent="0.5">
      <c r="B2" s="76" t="s">
        <v>322</v>
      </c>
      <c r="C2" s="77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</row>
    <row r="3" spans="2:17" x14ac:dyDescent="0.35">
      <c r="B3" s="72" t="s">
        <v>97</v>
      </c>
      <c r="C3" s="74">
        <v>2021</v>
      </c>
      <c r="D3" s="74">
        <v>2022</v>
      </c>
      <c r="E3" s="74">
        <v>2023</v>
      </c>
      <c r="F3" s="74">
        <v>2024</v>
      </c>
      <c r="G3" s="74">
        <v>2025</v>
      </c>
      <c r="H3" s="75">
        <v>2026</v>
      </c>
      <c r="I3" s="75">
        <v>2027</v>
      </c>
      <c r="J3" s="75">
        <v>2028</v>
      </c>
      <c r="K3" s="75">
        <v>2029</v>
      </c>
      <c r="L3" s="75">
        <v>2030</v>
      </c>
      <c r="M3" s="75">
        <v>2031</v>
      </c>
      <c r="N3" s="75">
        <v>2032</v>
      </c>
      <c r="O3" s="75">
        <v>2033</v>
      </c>
      <c r="P3" s="75">
        <v>2034</v>
      </c>
      <c r="Q3" s="75">
        <v>2035</v>
      </c>
    </row>
    <row r="4" spans="2:17" x14ac:dyDescent="0.35">
      <c r="Q4" s="15" t="s">
        <v>113</v>
      </c>
    </row>
    <row r="5" spans="2:17" x14ac:dyDescent="0.35">
      <c r="B5" s="52" t="s">
        <v>285</v>
      </c>
      <c r="C5" s="14">
        <f>IFERROR(Data!E177/10000000,0)</f>
        <v>5216.6796347</v>
      </c>
      <c r="D5" s="14">
        <f>IFERROR(Data!F177/10000000,0)</f>
        <v>5818.2457561000001</v>
      </c>
      <c r="E5" s="14">
        <f>IFERROR(Data!G177/10000000,0)</f>
        <v>4454.7964112</v>
      </c>
      <c r="F5" s="14">
        <f>IFERROR(Data!H177/10000000,0)</f>
        <v>4658.8327803000002</v>
      </c>
      <c r="G5" s="14">
        <f>IFERROR(Data!I177/10000000,0)</f>
        <v>4759.5797430000002</v>
      </c>
      <c r="H5" s="14">
        <f>G5*(1+Assumptions!D6)</f>
        <v>4902.3671352900001</v>
      </c>
      <c r="I5" s="14">
        <f>H5*(1+Assumptions!E6)</f>
        <v>5049.4381493486999</v>
      </c>
      <c r="J5" s="14">
        <f>I5*(1+Assumptions!F6)</f>
        <v>5200.9212938291612</v>
      </c>
      <c r="K5" s="14">
        <f>J5*(1+Assumptions!G6)</f>
        <v>5356.9489326440362</v>
      </c>
      <c r="L5" s="14">
        <f>K5*(1+Assumptions!H6)</f>
        <v>5517.6574006233577</v>
      </c>
      <c r="M5" s="14">
        <f>L5*(1+Assumptions!I6)</f>
        <v>5655.5988356389407</v>
      </c>
      <c r="N5" s="14">
        <f>M5*(1+Assumptions!J6)</f>
        <v>5796.9888065299137</v>
      </c>
      <c r="O5" s="14">
        <f>N5*(1+Assumptions!K6)</f>
        <v>5941.9135266931607</v>
      </c>
      <c r="P5" s="14">
        <f>O5*(1+Assumptions!L6)</f>
        <v>6060.7517972270243</v>
      </c>
      <c r="Q5" s="14">
        <f>P5*(1+Assumptions!M6)</f>
        <v>6181.9668331715648</v>
      </c>
    </row>
    <row r="6" spans="2:17" x14ac:dyDescent="0.35">
      <c r="B6" s="129" t="s">
        <v>357</v>
      </c>
      <c r="C6" s="14"/>
      <c r="D6" s="54">
        <f>D5/C5-1</f>
        <v>0.11531590274367987</v>
      </c>
      <c r="E6" s="54">
        <f t="shared" ref="E6:Q6" si="0">E5/D5-1</f>
        <v>-0.23434028091208148</v>
      </c>
      <c r="F6" s="54">
        <f t="shared" si="0"/>
        <v>4.5801502530401494E-2</v>
      </c>
      <c r="G6" s="54">
        <f t="shared" si="0"/>
        <v>2.16249364274268E-2</v>
      </c>
      <c r="H6" s="54">
        <f t="shared" si="0"/>
        <v>3.0000000000000027E-2</v>
      </c>
      <c r="I6" s="54">
        <f t="shared" si="0"/>
        <v>3.0000000000000027E-2</v>
      </c>
      <c r="J6" s="54">
        <f t="shared" si="0"/>
        <v>3.0000000000000027E-2</v>
      </c>
      <c r="K6" s="54">
        <f t="shared" si="0"/>
        <v>3.0000000000000027E-2</v>
      </c>
      <c r="L6" s="54">
        <f t="shared" si="0"/>
        <v>3.0000000000000027E-2</v>
      </c>
      <c r="M6" s="54">
        <f t="shared" si="0"/>
        <v>2.4999999999999911E-2</v>
      </c>
      <c r="N6" s="54">
        <f t="shared" si="0"/>
        <v>2.4999999999999911E-2</v>
      </c>
      <c r="O6" s="54">
        <f t="shared" si="0"/>
        <v>2.4999999999999911E-2</v>
      </c>
      <c r="P6" s="54">
        <f t="shared" si="0"/>
        <v>2.0000000000000018E-2</v>
      </c>
      <c r="Q6" s="54">
        <f t="shared" si="0"/>
        <v>2.0000000000000018E-2</v>
      </c>
    </row>
    <row r="7" spans="2:17" x14ac:dyDescent="0.35">
      <c r="B7" s="52" t="s">
        <v>280</v>
      </c>
      <c r="C7" s="14">
        <f>IFERROR(Data!E178/10000000,0)</f>
        <v>366.38746650000002</v>
      </c>
      <c r="D7" s="14">
        <f>IFERROR(Data!F178/10000000,0)</f>
        <v>446.14400310000002</v>
      </c>
      <c r="E7" s="14">
        <f>IFERROR(Data!G178/10000000,0)</f>
        <v>620.02495810000005</v>
      </c>
      <c r="F7" s="14">
        <f>IFERROR(Data!H178/10000000,0)</f>
        <v>965.08732689999999</v>
      </c>
      <c r="G7" s="14">
        <f>IFERROR(Data!I178/10000000,0)</f>
        <v>660.40190680000001</v>
      </c>
      <c r="H7" s="14">
        <f>G7*(1+Assumptions!D7)</f>
        <v>713.234059344</v>
      </c>
      <c r="I7" s="14">
        <f>H7*(1+Assumptions!E7)</f>
        <v>763.1604434980801</v>
      </c>
      <c r="J7" s="14">
        <f>I7*(1+Assumptions!F7)</f>
        <v>808.95007010796496</v>
      </c>
      <c r="K7" s="14">
        <f>J7*(1+Assumptions!G7)</f>
        <v>857.48707431444291</v>
      </c>
      <c r="L7" s="14">
        <f>K7*(1+Assumptions!H7)</f>
        <v>908.93629877330955</v>
      </c>
      <c r="M7" s="14">
        <f>L7*(1+Assumptions!I7)</f>
        <v>958.92779520584156</v>
      </c>
      <c r="N7" s="14">
        <f>M7*(1+Assumptions!J7)</f>
        <v>1006.8741849661337</v>
      </c>
      <c r="O7" s="14">
        <f>N7*(1+Assumptions!K7)</f>
        <v>1057.2178942144405</v>
      </c>
      <c r="P7" s="14">
        <f>O7*(1+Assumptions!L7)</f>
        <v>1099.5066099830183</v>
      </c>
      <c r="Q7" s="14">
        <f>P7*(1+Assumptions!M7)</f>
        <v>1143.486874382339</v>
      </c>
    </row>
    <row r="8" spans="2:17" x14ac:dyDescent="0.35">
      <c r="B8" s="129" t="s">
        <v>357</v>
      </c>
      <c r="C8" s="14"/>
      <c r="D8" s="54">
        <f>D7/C7-1</f>
        <v>0.21768358334386417</v>
      </c>
      <c r="E8" s="54">
        <f>E7/D7-1</f>
        <v>0.38974177348972638</v>
      </c>
      <c r="F8" s="54">
        <f t="shared" ref="F8:Q8" si="1">F7/E7-1</f>
        <v>0.55652980463464985</v>
      </c>
      <c r="G8" s="54">
        <f t="shared" si="1"/>
        <v>-0.31570761692487825</v>
      </c>
      <c r="H8" s="54">
        <f t="shared" si="1"/>
        <v>8.0000000000000071E-2</v>
      </c>
      <c r="I8" s="54">
        <f t="shared" si="1"/>
        <v>7.0000000000000062E-2</v>
      </c>
      <c r="J8" s="54">
        <f t="shared" si="1"/>
        <v>6.0000000000000053E-2</v>
      </c>
      <c r="K8" s="54">
        <f t="shared" si="1"/>
        <v>6.0000000000000053E-2</v>
      </c>
      <c r="L8" s="54">
        <f t="shared" si="1"/>
        <v>6.0000000000000053E-2</v>
      </c>
      <c r="M8" s="54">
        <f t="shared" si="1"/>
        <v>5.4999999999999938E-2</v>
      </c>
      <c r="N8" s="54">
        <f t="shared" si="1"/>
        <v>5.0000000000000044E-2</v>
      </c>
      <c r="O8" s="54">
        <f t="shared" si="1"/>
        <v>5.0000000000000044E-2</v>
      </c>
      <c r="P8" s="54">
        <f t="shared" si="1"/>
        <v>4.0000000000000036E-2</v>
      </c>
      <c r="Q8" s="54">
        <f t="shared" si="1"/>
        <v>4.0000000000000036E-2</v>
      </c>
    </row>
    <row r="9" spans="2:17" x14ac:dyDescent="0.35">
      <c r="B9" s="52" t="s">
        <v>281</v>
      </c>
      <c r="C9" s="14">
        <f>IFERROR(Data!E179/10000000,0)</f>
        <v>827.78093469999999</v>
      </c>
      <c r="D9" s="14">
        <f>IFERROR(Data!F179/10000000,0)</f>
        <v>922.4628606</v>
      </c>
      <c r="E9" s="14">
        <f>IFERROR(Data!G179/10000000,0)</f>
        <v>610.69962640000006</v>
      </c>
      <c r="F9" s="14">
        <f>IFERROR(Data!H179/10000000,0)</f>
        <v>523.34811079999997</v>
      </c>
      <c r="G9" s="14">
        <f>IFERROR(Data!I179/10000000,0)</f>
        <v>411.47071469999997</v>
      </c>
      <c r="H9" s="14">
        <f>G9*(1+Assumptions!D8)</f>
        <v>421.75748256749995</v>
      </c>
      <c r="I9" s="14">
        <f>H9*(1+Assumptions!E8)</f>
        <v>430.19263221884995</v>
      </c>
      <c r="J9" s="14">
        <f>I9*(1+Assumptions!F8)</f>
        <v>436.64552170213267</v>
      </c>
      <c r="K9" s="14">
        <f>J9*(1+Assumptions!G8)</f>
        <v>443.1952045276646</v>
      </c>
      <c r="L9" s="14">
        <f>K9*(1+Assumptions!H8)</f>
        <v>449.8431325955795</v>
      </c>
      <c r="M9" s="14">
        <f>L9*(1+Assumptions!I8)</f>
        <v>454.34156392153528</v>
      </c>
      <c r="N9" s="14">
        <f>M9*(1+Assumptions!J8)</f>
        <v>458.88497956075065</v>
      </c>
      <c r="O9" s="14">
        <f>N9*(1+Assumptions!K8)</f>
        <v>463.47382935635818</v>
      </c>
      <c r="P9" s="14">
        <f>O9*(1+Assumptions!L8)</f>
        <v>468.10856764992178</v>
      </c>
      <c r="Q9" s="14">
        <f>P9*(1+Assumptions!M8)</f>
        <v>472.78965332642099</v>
      </c>
    </row>
    <row r="10" spans="2:17" x14ac:dyDescent="0.35">
      <c r="B10" s="129" t="s">
        <v>357</v>
      </c>
      <c r="C10" s="14"/>
      <c r="D10" s="54">
        <f>D9/C9-1</f>
        <v>0.1143804138643445</v>
      </c>
      <c r="E10" s="54">
        <f>E9/D9-1</f>
        <v>-0.33796833186023223</v>
      </c>
      <c r="F10" s="54">
        <f t="shared" ref="F10:Q10" si="2">F9/E9-1</f>
        <v>-0.14303515480257722</v>
      </c>
      <c r="G10" s="54">
        <f t="shared" si="2"/>
        <v>-0.21377242755110371</v>
      </c>
      <c r="H10" s="54">
        <f t="shared" si="2"/>
        <v>2.4999999999999911E-2</v>
      </c>
      <c r="I10" s="54">
        <f t="shared" si="2"/>
        <v>2.0000000000000018E-2</v>
      </c>
      <c r="J10" s="54">
        <f t="shared" si="2"/>
        <v>1.4999999999999902E-2</v>
      </c>
      <c r="K10" s="54">
        <f t="shared" si="2"/>
        <v>1.4999999999999902E-2</v>
      </c>
      <c r="L10" s="54">
        <f t="shared" si="2"/>
        <v>1.4999999999999902E-2</v>
      </c>
      <c r="M10" s="54">
        <f t="shared" si="2"/>
        <v>1.0000000000000009E-2</v>
      </c>
      <c r="N10" s="54">
        <f t="shared" si="2"/>
        <v>1.0000000000000009E-2</v>
      </c>
      <c r="O10" s="54">
        <f t="shared" si="2"/>
        <v>1.0000000000000009E-2</v>
      </c>
      <c r="P10" s="54">
        <f t="shared" si="2"/>
        <v>1.0000000000000009E-2</v>
      </c>
      <c r="Q10" s="54">
        <f t="shared" si="2"/>
        <v>1.0000000000000009E-2</v>
      </c>
    </row>
    <row r="11" spans="2:17" x14ac:dyDescent="0.35">
      <c r="B11" s="52" t="s">
        <v>286</v>
      </c>
      <c r="C11" s="14">
        <f>IFERROR(Data!E180/10000000,0)</f>
        <v>465.98170900000002</v>
      </c>
      <c r="D11" s="14">
        <f>IFERROR(Data!F180/10000000,0)</f>
        <v>701.83689030000005</v>
      </c>
      <c r="E11" s="14">
        <f>IFERROR(Data!G180/10000000,0)</f>
        <v>928.06173639999997</v>
      </c>
      <c r="F11" s="14">
        <f>IFERROR(Data!H180/10000000,0)</f>
        <v>1257.9783534000001</v>
      </c>
      <c r="G11" s="14">
        <f>IFERROR(Data!I180/10000000,0)</f>
        <v>1016.862752</v>
      </c>
      <c r="H11" s="14">
        <f>G11*(1+Assumptions!D9)</f>
        <v>1118.5490272000002</v>
      </c>
      <c r="I11" s="14">
        <f>H11*(1+Assumptions!E9)</f>
        <v>1208.0329493760003</v>
      </c>
      <c r="J11" s="14">
        <f>I11*(1+Assumptions!F9)</f>
        <v>1292.5952558323204</v>
      </c>
      <c r="K11" s="14">
        <f>J11*(1+Assumptions!G9)</f>
        <v>1370.1509711822596</v>
      </c>
      <c r="L11" s="14">
        <f>K11*(1+Assumptions!H9)</f>
        <v>1438.6585197413726</v>
      </c>
      <c r="M11" s="14">
        <f>L11*(1+Assumptions!I9)</f>
        <v>1510.5914457284414</v>
      </c>
      <c r="N11" s="14">
        <f>M11*(1+Assumptions!J9)</f>
        <v>1586.1210180148635</v>
      </c>
      <c r="O11" s="14">
        <f>N11*(1+Assumptions!K9)</f>
        <v>1665.4270689156067</v>
      </c>
      <c r="P11" s="14">
        <f>O11*(1+Assumptions!L9)</f>
        <v>1748.6984223613872</v>
      </c>
      <c r="Q11" s="14">
        <f>P11*(1+Assumptions!M9)</f>
        <v>1836.1333434794567</v>
      </c>
    </row>
    <row r="12" spans="2:17" x14ac:dyDescent="0.35">
      <c r="B12" s="129" t="s">
        <v>357</v>
      </c>
      <c r="C12" s="14"/>
      <c r="D12" s="54">
        <f>D11/C11-1</f>
        <v>0.50614686530539332</v>
      </c>
      <c r="E12" s="54">
        <f>E11/D11-1</f>
        <v>0.3223325094856444</v>
      </c>
      <c r="F12" s="54">
        <f t="shared" ref="F12:Q12" si="3">F11/E11-1</f>
        <v>0.35548994647679777</v>
      </c>
      <c r="G12" s="54">
        <f t="shared" si="3"/>
        <v>-0.19166911795288455</v>
      </c>
      <c r="H12" s="54">
        <f t="shared" si="3"/>
        <v>0.10000000000000009</v>
      </c>
      <c r="I12" s="54">
        <f t="shared" si="3"/>
        <v>8.0000000000000071E-2</v>
      </c>
      <c r="J12" s="54">
        <f t="shared" si="3"/>
        <v>7.0000000000000062E-2</v>
      </c>
      <c r="K12" s="54">
        <f t="shared" si="3"/>
        <v>6.0000000000000053E-2</v>
      </c>
      <c r="L12" s="54">
        <f t="shared" si="3"/>
        <v>5.0000000000000044E-2</v>
      </c>
      <c r="M12" s="54">
        <f t="shared" si="3"/>
        <v>5.0000000000000044E-2</v>
      </c>
      <c r="N12" s="54">
        <f t="shared" si="3"/>
        <v>5.0000000000000044E-2</v>
      </c>
      <c r="O12" s="54">
        <f t="shared" si="3"/>
        <v>5.0000000000000044E-2</v>
      </c>
      <c r="P12" s="54">
        <f t="shared" si="3"/>
        <v>5.0000000000000044E-2</v>
      </c>
      <c r="Q12" s="54">
        <f t="shared" si="3"/>
        <v>5.0000000000000044E-2</v>
      </c>
    </row>
    <row r="13" spans="2:17" x14ac:dyDescent="0.35">
      <c r="B13" s="52" t="s">
        <v>287</v>
      </c>
      <c r="C13" s="14">
        <f>IFERROR(Data!E181/10000000,0)</f>
        <v>319.66409650000003</v>
      </c>
      <c r="D13" s="14">
        <f>IFERROR(Data!F181/10000000,0)</f>
        <v>491.07980400000002</v>
      </c>
      <c r="E13" s="14">
        <f>IFERROR(Data!G181/10000000,0)</f>
        <v>351.64985030000003</v>
      </c>
      <c r="F13" s="14">
        <f>IFERROR(Data!H181/10000000,0)</f>
        <v>433.55145049999999</v>
      </c>
      <c r="G13" s="14">
        <f>IFERROR(Data!I181/10000000,0)</f>
        <v>462.02502010000001</v>
      </c>
      <c r="H13" s="14">
        <f>G13*(1+Assumptions!D10)</f>
        <v>508.22752211000005</v>
      </c>
      <c r="I13" s="14">
        <f>H13*(1+Assumptions!E10)</f>
        <v>553.96799909990011</v>
      </c>
      <c r="J13" s="14">
        <f>I13*(1+Assumptions!F10)</f>
        <v>598.28543902789215</v>
      </c>
      <c r="K13" s="14">
        <f>J13*(1+Assumptions!G10)</f>
        <v>640.16541975984467</v>
      </c>
      <c r="L13" s="14">
        <f>K13*(1+Assumptions!H10)</f>
        <v>678.5753449454354</v>
      </c>
      <c r="M13" s="14">
        <f>L13*(1+Assumptions!I10)</f>
        <v>712.50411219270723</v>
      </c>
      <c r="N13" s="14">
        <f>M13*(1+Assumptions!J10)</f>
        <v>741.0042766804155</v>
      </c>
      <c r="O13" s="14">
        <f>N13*(1+Assumptions!K10)</f>
        <v>770.64444774763217</v>
      </c>
      <c r="P13" s="14">
        <f>O13*(1+Assumptions!L10)</f>
        <v>801.47022565753753</v>
      </c>
      <c r="Q13" s="14">
        <f>P13*(1+Assumptions!M10)</f>
        <v>833.52903468383909</v>
      </c>
    </row>
    <row r="14" spans="2:17" x14ac:dyDescent="0.35">
      <c r="B14" s="129" t="s">
        <v>357</v>
      </c>
      <c r="C14" s="14"/>
      <c r="D14" s="54">
        <f>D13/C13-1</f>
        <v>0.53623697305024054</v>
      </c>
      <c r="E14" s="54">
        <f>E13/D13-1</f>
        <v>-0.28392524507075834</v>
      </c>
      <c r="F14" s="54">
        <f t="shared" ref="F14:Q14" si="4">F13/E13-1</f>
        <v>0.23290668296923189</v>
      </c>
      <c r="G14" s="54">
        <f t="shared" si="4"/>
        <v>6.5675180113369258E-2</v>
      </c>
      <c r="H14" s="54">
        <f t="shared" si="4"/>
        <v>0.10000000000000009</v>
      </c>
      <c r="I14" s="54">
        <f t="shared" si="4"/>
        <v>9.000000000000008E-2</v>
      </c>
      <c r="J14" s="54">
        <f t="shared" si="4"/>
        <v>8.0000000000000071E-2</v>
      </c>
      <c r="K14" s="54">
        <f t="shared" si="4"/>
        <v>7.0000000000000062E-2</v>
      </c>
      <c r="L14" s="54">
        <f t="shared" si="4"/>
        <v>6.0000000000000053E-2</v>
      </c>
      <c r="M14" s="54">
        <f t="shared" si="4"/>
        <v>5.0000000000000044E-2</v>
      </c>
      <c r="N14" s="54">
        <f t="shared" si="4"/>
        <v>4.0000000000000036E-2</v>
      </c>
      <c r="O14" s="54">
        <f t="shared" si="4"/>
        <v>4.0000000000000036E-2</v>
      </c>
      <c r="P14" s="54">
        <f t="shared" si="4"/>
        <v>4.0000000000000036E-2</v>
      </c>
      <c r="Q14" s="54">
        <f t="shared" si="4"/>
        <v>4.0000000000000036E-2</v>
      </c>
    </row>
    <row r="15" spans="2:17" x14ac:dyDescent="0.35">
      <c r="B15" s="52" t="s">
        <v>288</v>
      </c>
      <c r="C15" s="14"/>
      <c r="D15" s="14">
        <f>IFERROR(Data!F182/10000000,0)</f>
        <v>53.907451100000003</v>
      </c>
      <c r="E15" s="14">
        <f>IFERROR(Data!G182/10000000,0)</f>
        <v>104.11405190000001</v>
      </c>
      <c r="F15" s="14">
        <f>IFERROR(Data!H182/10000000,0)</f>
        <v>108.6591865</v>
      </c>
      <c r="G15" s="14">
        <f>IFERROR(Data!I182/10000000,0)</f>
        <v>161.07881180000001</v>
      </c>
      <c r="H15" s="14">
        <f>G15*(1+Assumptions!D11)</f>
        <v>185.24063357</v>
      </c>
      <c r="I15" s="14">
        <f>H15*(1+Assumptions!E11)</f>
        <v>211.17432226980003</v>
      </c>
      <c r="J15" s="14">
        <f>I15*(1+Assumptions!F11)</f>
        <v>236.51524094217606</v>
      </c>
      <c r="K15" s="14">
        <f>J15*(1+Assumptions!G11)</f>
        <v>260.16676503639371</v>
      </c>
      <c r="L15" s="14">
        <f>K15*(1+Assumptions!H11)</f>
        <v>283.58177388966919</v>
      </c>
      <c r="M15" s="14">
        <f>L15*(1+Assumptions!I11)</f>
        <v>306.26831580084274</v>
      </c>
      <c r="N15" s="14">
        <f>M15*(1+Assumptions!J11)</f>
        <v>327.70709790690177</v>
      </c>
      <c r="O15" s="14">
        <f>N15*(1+Assumptions!K11)</f>
        <v>347.36952378131588</v>
      </c>
      <c r="P15" s="14">
        <f>O15*(1+Assumptions!L11)</f>
        <v>364.73799997038168</v>
      </c>
      <c r="Q15" s="14">
        <f>P15*(1+Assumptions!M11)</f>
        <v>379.32751996919694</v>
      </c>
    </row>
    <row r="16" spans="2:17" x14ac:dyDescent="0.35">
      <c r="B16" s="129" t="s">
        <v>357</v>
      </c>
      <c r="C16" s="14"/>
      <c r="D16" s="54"/>
      <c r="E16" s="54">
        <f>E15/D15-1</f>
        <v>0.93134807481186965</v>
      </c>
      <c r="F16" s="54">
        <f t="shared" ref="F16:Q16" si="5">F15/E15-1</f>
        <v>4.3655342550355636E-2</v>
      </c>
      <c r="G16" s="54">
        <f t="shared" si="5"/>
        <v>0.48242239785220553</v>
      </c>
      <c r="H16" s="54">
        <f t="shared" si="5"/>
        <v>0.14999999999999991</v>
      </c>
      <c r="I16" s="54">
        <f t="shared" si="5"/>
        <v>0.14000000000000012</v>
      </c>
      <c r="J16" s="54">
        <f t="shared" si="5"/>
        <v>0.12000000000000011</v>
      </c>
      <c r="K16" s="54">
        <f t="shared" si="5"/>
        <v>0.10000000000000009</v>
      </c>
      <c r="L16" s="54">
        <f t="shared" si="5"/>
        <v>9.000000000000008E-2</v>
      </c>
      <c r="M16" s="54">
        <f t="shared" si="5"/>
        <v>8.0000000000000071E-2</v>
      </c>
      <c r="N16" s="54">
        <f t="shared" si="5"/>
        <v>7.0000000000000062E-2</v>
      </c>
      <c r="O16" s="54">
        <f t="shared" si="5"/>
        <v>6.0000000000000053E-2</v>
      </c>
      <c r="P16" s="54">
        <f t="shared" si="5"/>
        <v>5.0000000000000044E-2</v>
      </c>
      <c r="Q16" s="54">
        <f t="shared" si="5"/>
        <v>4.0000000000000036E-2</v>
      </c>
    </row>
    <row r="17" spans="2:17" x14ac:dyDescent="0.35">
      <c r="B17" s="52" t="s">
        <v>290</v>
      </c>
      <c r="C17" s="14"/>
      <c r="D17" s="14"/>
      <c r="E17" s="14"/>
      <c r="F17" s="14"/>
      <c r="G17" s="14">
        <f>IFERROR(Data!I183/10000000,0)</f>
        <v>134.1605715</v>
      </c>
      <c r="H17" s="14">
        <f>G17*(1+Assumptions!D12)</f>
        <v>150.25984008000003</v>
      </c>
      <c r="I17" s="14">
        <f>H17*(1+Assumptions!E12)</f>
        <v>165.28582408800006</v>
      </c>
      <c r="J17" s="14">
        <f>I17*(1+Assumptions!F12)</f>
        <v>178.50869001504006</v>
      </c>
      <c r="K17" s="14">
        <f>J17*(1+Assumptions!G12)</f>
        <v>191.00429831609287</v>
      </c>
      <c r="L17" s="14">
        <f>K17*(1+Assumptions!H12)</f>
        <v>202.46455621505845</v>
      </c>
      <c r="M17" s="14">
        <f>L17*(1+Assumptions!I12)</f>
        <v>212.58778402581137</v>
      </c>
      <c r="N17" s="14">
        <f>M17*(1+Assumptions!J12)</f>
        <v>223.21717322710194</v>
      </c>
      <c r="O17" s="14">
        <f>N17*(1+Assumptions!K12)</f>
        <v>234.37803188845703</v>
      </c>
      <c r="P17" s="14">
        <f>O17*(1+Assumptions!L12)</f>
        <v>246.0969334828799</v>
      </c>
      <c r="Q17" s="14">
        <f>P17*(1+Assumptions!M12)</f>
        <v>258.40178015702389</v>
      </c>
    </row>
    <row r="18" spans="2:17" x14ac:dyDescent="0.35">
      <c r="B18" s="129" t="s">
        <v>357</v>
      </c>
      <c r="C18" s="14"/>
      <c r="D18" s="54"/>
      <c r="E18" s="54"/>
      <c r="F18" s="54"/>
      <c r="G18" s="54"/>
      <c r="H18" s="54">
        <f t="shared" ref="H18:Q18" si="6">H17/G17-1</f>
        <v>0.12000000000000011</v>
      </c>
      <c r="I18" s="54">
        <f t="shared" si="6"/>
        <v>0.10000000000000009</v>
      </c>
      <c r="J18" s="54">
        <f t="shared" si="6"/>
        <v>8.0000000000000071E-2</v>
      </c>
      <c r="K18" s="54">
        <f t="shared" si="6"/>
        <v>7.0000000000000062E-2</v>
      </c>
      <c r="L18" s="54">
        <f t="shared" si="6"/>
        <v>6.0000000000000053E-2</v>
      </c>
      <c r="M18" s="54">
        <f t="shared" si="6"/>
        <v>5.0000000000000044E-2</v>
      </c>
      <c r="N18" s="54">
        <f t="shared" si="6"/>
        <v>5.0000000000000044E-2</v>
      </c>
      <c r="O18" s="54">
        <f t="shared" si="6"/>
        <v>5.0000000000000044E-2</v>
      </c>
      <c r="P18" s="54">
        <f t="shared" si="6"/>
        <v>5.0000000000000044E-2</v>
      </c>
      <c r="Q18" s="54">
        <f t="shared" si="6"/>
        <v>5.0000000000000044E-2</v>
      </c>
    </row>
    <row r="19" spans="2:17" x14ac:dyDescent="0.35">
      <c r="B19" s="52" t="s">
        <v>289</v>
      </c>
      <c r="C19" s="14"/>
      <c r="D19" s="14"/>
      <c r="E19" s="14">
        <f>IFERROR(Data!G184/10000000,0)</f>
        <v>3.6709551</v>
      </c>
      <c r="F19" s="14">
        <f>IFERROR(Data!H184/10000000,0)</f>
        <v>27.632899399999999</v>
      </c>
      <c r="G19" s="14">
        <f>IFERROR(Data!I184/10000000,0)</f>
        <v>61.913860700000001</v>
      </c>
      <c r="H19" s="14">
        <f>G19*(1+Assumptions!D13)</f>
        <v>73.058355625999994</v>
      </c>
      <c r="I19" s="14">
        <f>H19*(1+Assumptions!E13)</f>
        <v>84.74769252615998</v>
      </c>
      <c r="J19" s="14">
        <f>I19*(1+Assumptions!F13)</f>
        <v>96.612369479822391</v>
      </c>
      <c r="K19" s="14">
        <f>J19*(1+Assumptions!G13)</f>
        <v>108.20585381740109</v>
      </c>
      <c r="L19" s="14">
        <f>K19*(1+Assumptions!H13)</f>
        <v>119.02643919914121</v>
      </c>
      <c r="M19" s="14">
        <f>L19*(1+Assumptions!I13)</f>
        <v>128.54855433507251</v>
      </c>
      <c r="N19" s="14">
        <f>M19*(1+Assumptions!J13)</f>
        <v>137.54695313852758</v>
      </c>
      <c r="O19" s="14">
        <f>N19*(1+Assumptions!K13)</f>
        <v>145.79977032683925</v>
      </c>
      <c r="P19" s="14">
        <f>O19*(1+Assumptions!L13)</f>
        <v>154.54775654644962</v>
      </c>
      <c r="Q19" s="14">
        <f>P19*(1+Assumptions!M13)</f>
        <v>163.82062193923662</v>
      </c>
    </row>
    <row r="20" spans="2:17" x14ac:dyDescent="0.35">
      <c r="B20" s="129" t="s">
        <v>357</v>
      </c>
      <c r="C20" s="14"/>
      <c r="D20" s="54"/>
      <c r="E20" s="54"/>
      <c r="F20" s="54">
        <f t="shared" ref="F20:Q20" si="7">F19/E19-1</f>
        <v>6.5274414007406412</v>
      </c>
      <c r="G20" s="54">
        <f t="shared" si="7"/>
        <v>1.2405850288732281</v>
      </c>
      <c r="H20" s="54">
        <f t="shared" si="7"/>
        <v>0.17999999999999994</v>
      </c>
      <c r="I20" s="54">
        <f t="shared" si="7"/>
        <v>0.15999999999999992</v>
      </c>
      <c r="J20" s="54">
        <f t="shared" si="7"/>
        <v>0.14000000000000012</v>
      </c>
      <c r="K20" s="54">
        <f t="shared" si="7"/>
        <v>0.12000000000000011</v>
      </c>
      <c r="L20" s="54">
        <f t="shared" si="7"/>
        <v>0.10000000000000009</v>
      </c>
      <c r="M20" s="54">
        <f t="shared" si="7"/>
        <v>8.0000000000000071E-2</v>
      </c>
      <c r="N20" s="54">
        <f t="shared" si="7"/>
        <v>7.0000000000000062E-2</v>
      </c>
      <c r="O20" s="54">
        <f t="shared" si="7"/>
        <v>6.0000000000000053E-2</v>
      </c>
      <c r="P20" s="54">
        <f t="shared" si="7"/>
        <v>6.0000000000000053E-2</v>
      </c>
      <c r="Q20" s="54">
        <f t="shared" si="7"/>
        <v>6.0000000000000053E-2</v>
      </c>
    </row>
    <row r="21" spans="2:17" x14ac:dyDescent="0.35">
      <c r="B21" s="52" t="s">
        <v>316</v>
      </c>
      <c r="C21" s="14"/>
      <c r="D21" s="14"/>
      <c r="E21" s="14">
        <f>IFERROR(Data!G185/10000000,0)</f>
        <v>3.76444</v>
      </c>
      <c r="F21" s="14">
        <f>IFERROR(Data!H185/10000000,0)</f>
        <v>21.358209800000001</v>
      </c>
      <c r="G21" s="14">
        <f>IFERROR(Data!I185/10000000,0)</f>
        <v>24.244176199999998</v>
      </c>
      <c r="H21" s="14">
        <f>G21*(1+Assumptions!D14)</f>
        <v>26.183710296000001</v>
      </c>
      <c r="I21" s="14">
        <f>H21*(1+Assumptions!E14)</f>
        <v>28.016570016720003</v>
      </c>
      <c r="J21" s="14">
        <f>I21*(1+Assumptions!F14)</f>
        <v>29.697564217723205</v>
      </c>
      <c r="K21" s="14">
        <f>J21*(1+Assumptions!G14)</f>
        <v>31.182442428609367</v>
      </c>
      <c r="L21" s="14">
        <f>K21*(1+Assumptions!H14)</f>
        <v>32.74156455003984</v>
      </c>
      <c r="M21" s="14">
        <f>L21*(1+Assumptions!I14)</f>
        <v>34.051227132041433</v>
      </c>
      <c r="N21" s="14">
        <f>M21*(1+Assumptions!J14)</f>
        <v>35.413276217323094</v>
      </c>
      <c r="O21" s="14">
        <f>N21*(1+Assumptions!K14)</f>
        <v>36.829807266016019</v>
      </c>
      <c r="P21" s="14">
        <f>O21*(1+Assumptions!L14)</f>
        <v>38.302999556656658</v>
      </c>
      <c r="Q21" s="14">
        <f>P21*(1+Assumptions!M14)</f>
        <v>39.835119538922925</v>
      </c>
    </row>
    <row r="22" spans="2:17" x14ac:dyDescent="0.35">
      <c r="B22" s="129" t="s">
        <v>357</v>
      </c>
      <c r="C22" s="14"/>
      <c r="D22" s="54"/>
      <c r="E22" s="54"/>
      <c r="F22" s="54">
        <f t="shared" ref="F22:Q22" si="8">F21/E21-1</f>
        <v>4.6736751814346889</v>
      </c>
      <c r="G22" s="54">
        <f t="shared" si="8"/>
        <v>0.13512211121739215</v>
      </c>
      <c r="H22" s="54">
        <f t="shared" si="8"/>
        <v>8.0000000000000071E-2</v>
      </c>
      <c r="I22" s="54">
        <f t="shared" si="8"/>
        <v>7.0000000000000062E-2</v>
      </c>
      <c r="J22" s="54">
        <f t="shared" si="8"/>
        <v>6.0000000000000053E-2</v>
      </c>
      <c r="K22" s="54">
        <f t="shared" si="8"/>
        <v>5.0000000000000044E-2</v>
      </c>
      <c r="L22" s="54">
        <f t="shared" si="8"/>
        <v>5.0000000000000044E-2</v>
      </c>
      <c r="M22" s="54">
        <f t="shared" si="8"/>
        <v>4.0000000000000036E-2</v>
      </c>
      <c r="N22" s="54">
        <f t="shared" si="8"/>
        <v>4.0000000000000036E-2</v>
      </c>
      <c r="O22" s="54">
        <f t="shared" si="8"/>
        <v>4.0000000000000036E-2</v>
      </c>
      <c r="P22" s="54">
        <f t="shared" si="8"/>
        <v>4.0000000000000036E-2</v>
      </c>
      <c r="Q22" s="54">
        <f t="shared" si="8"/>
        <v>4.0000000000000036E-2</v>
      </c>
    </row>
    <row r="23" spans="2:17" x14ac:dyDescent="0.35">
      <c r="B23" s="52" t="s">
        <v>358</v>
      </c>
      <c r="F23" s="14"/>
      <c r="I23" s="14">
        <f>Assumptions!E18</f>
        <v>1320.683</v>
      </c>
      <c r="J23" s="14">
        <f>I23*(1+Assumptions!F15)</f>
        <v>1650.85375</v>
      </c>
      <c r="K23" s="14">
        <f>J23*(1+Assumptions!G15)</f>
        <v>1981.0245</v>
      </c>
      <c r="L23" s="14">
        <f>K23*(1+Assumptions!H15)</f>
        <v>2278.178175</v>
      </c>
      <c r="M23" s="14">
        <f>L23*(1+Assumptions!I15)</f>
        <v>2505.9959925000003</v>
      </c>
      <c r="N23" s="14">
        <f>M23*(1+Assumptions!J15)</f>
        <v>2731.5356318250006</v>
      </c>
      <c r="O23" s="14">
        <f>N23*(1+Assumptions!K15)</f>
        <v>2950.058482371001</v>
      </c>
      <c r="P23" s="14">
        <f>O23*(1+Assumptions!L15)</f>
        <v>3156.5625761369711</v>
      </c>
      <c r="Q23" s="14">
        <f>P23*(1+Assumptions!M15)</f>
        <v>3345.9563307051894</v>
      </c>
    </row>
    <row r="24" spans="2:17" x14ac:dyDescent="0.35">
      <c r="B24" s="129" t="s">
        <v>357</v>
      </c>
      <c r="D24" s="54"/>
      <c r="E24" s="54"/>
      <c r="F24" s="54"/>
      <c r="G24" s="54"/>
      <c r="H24" s="54"/>
      <c r="I24" s="54"/>
      <c r="J24" s="54">
        <f t="shared" ref="J24:Q26" si="9">J23/I23-1</f>
        <v>0.25</v>
      </c>
      <c r="K24" s="54">
        <f t="shared" si="9"/>
        <v>0.19999999999999996</v>
      </c>
      <c r="L24" s="54">
        <f t="shared" si="9"/>
        <v>0.14999999999999991</v>
      </c>
      <c r="M24" s="54">
        <f t="shared" si="9"/>
        <v>0.10000000000000009</v>
      </c>
      <c r="N24" s="54">
        <f t="shared" si="9"/>
        <v>9.000000000000008E-2</v>
      </c>
      <c r="O24" s="54">
        <f t="shared" si="9"/>
        <v>8.0000000000000071E-2</v>
      </c>
      <c r="P24" s="54">
        <f t="shared" si="9"/>
        <v>7.0000000000000062E-2</v>
      </c>
      <c r="Q24" s="54">
        <f t="shared" si="9"/>
        <v>6.0000000000000053E-2</v>
      </c>
    </row>
    <row r="25" spans="2:17" x14ac:dyDescent="0.35">
      <c r="B25" t="s">
        <v>359</v>
      </c>
      <c r="H25" s="14">
        <f>Assumptions!D19</f>
        <v>64</v>
      </c>
      <c r="I25" s="14">
        <f>H25*(1+Assumptions!E16)</f>
        <v>80</v>
      </c>
      <c r="J25" s="14">
        <f>I25*(1+Assumptions!F16)</f>
        <v>96</v>
      </c>
      <c r="K25" s="14">
        <f>J25*(1+Assumptions!G16)</f>
        <v>110.39999999999999</v>
      </c>
      <c r="L25" s="14">
        <f>K25*(1+Assumptions!H16)</f>
        <v>123.648</v>
      </c>
      <c r="M25" s="14">
        <f>L25*(1+Assumptions!I16)</f>
        <v>136.0128</v>
      </c>
      <c r="N25" s="14">
        <f>M25*(1+Assumptions!J16)</f>
        <v>149.61408</v>
      </c>
      <c r="O25" s="14">
        <f>N25*(1+Assumptions!K16)</f>
        <v>161.58320640000002</v>
      </c>
      <c r="P25" s="14">
        <f>O25*(1+Assumptions!L16)</f>
        <v>174.50986291200005</v>
      </c>
      <c r="Q25" s="14">
        <f>P25*(1+Assumptions!M16)</f>
        <v>188.47065194496005</v>
      </c>
    </row>
    <row r="26" spans="2:17" x14ac:dyDescent="0.35">
      <c r="B26" s="129" t="s">
        <v>357</v>
      </c>
      <c r="D26" s="54"/>
      <c r="E26" s="54"/>
      <c r="F26" s="54"/>
      <c r="G26" s="54"/>
      <c r="H26" s="54"/>
      <c r="I26" s="54">
        <f>I25/H25-1</f>
        <v>0.25</v>
      </c>
      <c r="J26" s="54">
        <f t="shared" si="9"/>
        <v>0.19999999999999996</v>
      </c>
      <c r="K26" s="54">
        <f t="shared" si="9"/>
        <v>0.14999999999999991</v>
      </c>
      <c r="L26" s="54">
        <f t="shared" si="9"/>
        <v>0.12000000000000011</v>
      </c>
      <c r="M26" s="54">
        <f t="shared" si="9"/>
        <v>0.10000000000000009</v>
      </c>
      <c r="N26" s="54">
        <f t="shared" si="9"/>
        <v>0.10000000000000009</v>
      </c>
      <c r="O26" s="54">
        <f t="shared" si="9"/>
        <v>8.0000000000000071E-2</v>
      </c>
      <c r="P26" s="54">
        <f t="shared" si="9"/>
        <v>8.0000000000000071E-2</v>
      </c>
      <c r="Q26" s="54">
        <f t="shared" si="9"/>
        <v>8.0000000000000071E-2</v>
      </c>
    </row>
    <row r="27" spans="2:17" x14ac:dyDescent="0.35">
      <c r="B27" s="90" t="s">
        <v>317</v>
      </c>
      <c r="C27" s="91">
        <f>C5+C7+C9+C11+C13+C15+C17+C19+C21+C23+C25</f>
        <v>7196.4938413999998</v>
      </c>
      <c r="D27" s="91">
        <f t="shared" ref="D27:Q27" si="10">D5+D7+D9+D11+D13+D15+D17+D19+D21+D23+D25</f>
        <v>8433.6767651999999</v>
      </c>
      <c r="E27" s="91">
        <f t="shared" si="10"/>
        <v>7076.7820294000003</v>
      </c>
      <c r="F27" s="91">
        <f t="shared" si="10"/>
        <v>7996.4483175999994</v>
      </c>
      <c r="G27" s="91">
        <f t="shared" si="10"/>
        <v>7691.7375567999998</v>
      </c>
      <c r="H27" s="91">
        <f t="shared" si="10"/>
        <v>8162.8777660835003</v>
      </c>
      <c r="I27" s="91">
        <f t="shared" si="10"/>
        <v>9894.6995824422083</v>
      </c>
      <c r="J27" s="91">
        <f t="shared" si="10"/>
        <v>10625.585195154234</v>
      </c>
      <c r="K27" s="91">
        <f t="shared" si="10"/>
        <v>11349.931462026745</v>
      </c>
      <c r="L27" s="91">
        <f t="shared" si="10"/>
        <v>12033.311205532964</v>
      </c>
      <c r="M27" s="91">
        <f t="shared" si="10"/>
        <v>12615.428426481236</v>
      </c>
      <c r="N27" s="91">
        <f t="shared" si="10"/>
        <v>13194.907478066933</v>
      </c>
      <c r="O27" s="91">
        <f t="shared" si="10"/>
        <v>13774.695588960827</v>
      </c>
      <c r="P27" s="91">
        <f t="shared" si="10"/>
        <v>14313.293751484231</v>
      </c>
      <c r="Q27" s="91">
        <f t="shared" si="10"/>
        <v>14843.717763298149</v>
      </c>
    </row>
    <row r="28" spans="2:17" x14ac:dyDescent="0.35">
      <c r="B28" s="52" t="s">
        <v>335</v>
      </c>
      <c r="C28" s="14">
        <f>IFERROR(Data!E187/10000000,0)</f>
        <v>-201.5012601</v>
      </c>
      <c r="D28" s="14">
        <f>IFERROR(Data!F187/10000000,0)</f>
        <v>-265.50863679999998</v>
      </c>
      <c r="E28" s="14">
        <f>IFERROR(Data!G187/10000000,0)</f>
        <v>-439.35488889999999</v>
      </c>
      <c r="F28" s="14">
        <f>IFERROR(Data!H187/10000000,0)</f>
        <v>-484.33285599999999</v>
      </c>
      <c r="G28" s="14">
        <f>IFERROR(Data!I187/10000000,0)</f>
        <v>-609.48998659999995</v>
      </c>
      <c r="H28" s="14">
        <f>-H27*Assumptions!D17</f>
        <v>-653.03022128667999</v>
      </c>
      <c r="I28" s="14">
        <f>-I27*Assumptions!E17</f>
        <v>-791.57596659537671</v>
      </c>
      <c r="J28" s="14">
        <f>-J27*Assumptions!F17</f>
        <v>-850.04681561233872</v>
      </c>
      <c r="K28" s="14">
        <f>-K27*Assumptions!G17</f>
        <v>-907.99451696213964</v>
      </c>
      <c r="L28" s="14">
        <f>-L27*Assumptions!H17</f>
        <v>-962.66489644263709</v>
      </c>
      <c r="M28" s="14">
        <f>-M27*Assumptions!I17</f>
        <v>-1009.2342741184989</v>
      </c>
      <c r="N28" s="14">
        <f>-N27*Assumptions!J17</f>
        <v>-1055.5925982453546</v>
      </c>
      <c r="O28" s="14">
        <f>-O27*Assumptions!K17</f>
        <v>-1101.9756471168662</v>
      </c>
      <c r="P28" s="14">
        <f>-P27*Assumptions!L17</f>
        <v>-1145.0635001187384</v>
      </c>
      <c r="Q28" s="14">
        <f>-Q27*Assumptions!M17</f>
        <v>-1187.497421063852</v>
      </c>
    </row>
    <row r="29" spans="2:17" ht="15" thickBot="1" x14ac:dyDescent="0.4">
      <c r="B29" s="80" t="s">
        <v>336</v>
      </c>
      <c r="C29" s="79">
        <f>SUM(C27:C28)</f>
        <v>6994.9925813</v>
      </c>
      <c r="D29" s="79">
        <f t="shared" ref="D29:O29" si="11">SUM(D27:D28)</f>
        <v>8168.1681283999997</v>
      </c>
      <c r="E29" s="79">
        <f t="shared" si="11"/>
        <v>6637.4271405</v>
      </c>
      <c r="F29" s="79">
        <f t="shared" si="11"/>
        <v>7512.1154615999994</v>
      </c>
      <c r="G29" s="79">
        <f t="shared" si="11"/>
        <v>7082.2475702000002</v>
      </c>
      <c r="H29" s="79">
        <f t="shared" si="11"/>
        <v>7509.8475447968203</v>
      </c>
      <c r="I29" s="79">
        <f t="shared" si="11"/>
        <v>9103.1236158468309</v>
      </c>
      <c r="J29" s="79">
        <f t="shared" si="11"/>
        <v>9775.5383795418948</v>
      </c>
      <c r="K29" s="79">
        <f t="shared" si="11"/>
        <v>10441.936945064605</v>
      </c>
      <c r="L29" s="79">
        <f t="shared" si="11"/>
        <v>11070.646309090327</v>
      </c>
      <c r="M29" s="79">
        <f t="shared" si="11"/>
        <v>11606.194152362737</v>
      </c>
      <c r="N29" s="79">
        <f t="shared" si="11"/>
        <v>12139.314879821577</v>
      </c>
      <c r="O29" s="79">
        <f t="shared" si="11"/>
        <v>12672.719941843961</v>
      </c>
      <c r="P29" s="79">
        <f>SUM(P27:P28)</f>
        <v>13168.230251365492</v>
      </c>
      <c r="Q29" s="79">
        <f>SUM(Q27:Q28)</f>
        <v>13656.220342234297</v>
      </c>
    </row>
    <row r="30" spans="2:17" x14ac:dyDescent="0.35">
      <c r="B30" s="53" t="s">
        <v>337</v>
      </c>
      <c r="C30" s="81">
        <v>0.70279999999999998</v>
      </c>
      <c r="D30" s="81">
        <f>D29/C29-1</f>
        <v>0.16771648196401201</v>
      </c>
      <c r="E30" s="81">
        <f t="shared" ref="E30:Q30" si="12">E29/D29-1</f>
        <v>-0.18740321744575117</v>
      </c>
      <c r="F30" s="81">
        <f t="shared" si="12"/>
        <v>0.13178123127903874</v>
      </c>
      <c r="G30" s="81">
        <f t="shared" si="12"/>
        <v>-5.7223280658740272E-2</v>
      </c>
      <c r="H30" s="81">
        <f t="shared" si="12"/>
        <v>6.0376309971997388E-2</v>
      </c>
      <c r="I30" s="81">
        <f t="shared" si="12"/>
        <v>0.21215824443119469</v>
      </c>
      <c r="J30" s="81">
        <f t="shared" si="12"/>
        <v>7.3866377308610343E-2</v>
      </c>
      <c r="K30" s="81">
        <f t="shared" si="12"/>
        <v>6.8170011681130349E-2</v>
      </c>
      <c r="L30" s="81">
        <f t="shared" si="12"/>
        <v>6.0210032614962605E-2</v>
      </c>
      <c r="M30" s="81">
        <f t="shared" si="12"/>
        <v>4.8375481279052446E-2</v>
      </c>
      <c r="N30" s="81">
        <f t="shared" si="12"/>
        <v>4.5934155543168265E-2</v>
      </c>
      <c r="O30" s="81">
        <f t="shared" si="12"/>
        <v>4.3940293773006012E-2</v>
      </c>
      <c r="P30" s="81">
        <f t="shared" si="12"/>
        <v>3.9100549195079104E-2</v>
      </c>
      <c r="Q30" s="81">
        <f t="shared" si="12"/>
        <v>3.7058137772021604E-2</v>
      </c>
    </row>
    <row r="31" spans="2:17" x14ac:dyDescent="0.35">
      <c r="C31" s="14"/>
      <c r="D31" s="14"/>
      <c r="E31" s="14"/>
      <c r="F31" s="14"/>
      <c r="G31" s="14"/>
    </row>
  </sheetData>
  <pageMargins left="0.7" right="0.7" top="0.75" bottom="0.75" header="0.3" footer="0.3"/>
  <ignoredErrors>
    <ignoredError sqref="D7:Q7 D9:Q2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BBB90-6876-442A-A932-FEC65317ECA3}">
  <dimension ref="B2:U62"/>
  <sheetViews>
    <sheetView showGridLines="0" zoomScaleNormal="100" workbookViewId="0">
      <selection activeCell="C5" sqref="C5"/>
    </sheetView>
  </sheetViews>
  <sheetFormatPr defaultColWidth="8.7265625" defaultRowHeight="14.5" x14ac:dyDescent="0.35"/>
  <cols>
    <col min="1" max="1" width="2.1796875" style="2" customWidth="1"/>
    <col min="2" max="2" width="32.453125" style="2" customWidth="1"/>
    <col min="3" max="12" width="10.81640625" style="2" customWidth="1"/>
    <col min="13" max="13" width="8.7265625" style="2" customWidth="1"/>
    <col min="14" max="14" width="9.453125" style="2" customWidth="1"/>
    <col min="15" max="16384" width="8.7265625" style="2"/>
  </cols>
  <sheetData>
    <row r="2" spans="2:21" ht="21" x14ac:dyDescent="0.5">
      <c r="B2" s="224" t="s">
        <v>198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</row>
    <row r="3" spans="2:21" x14ac:dyDescent="0.35">
      <c r="B3" s="72" t="s">
        <v>97</v>
      </c>
      <c r="C3" s="74">
        <v>2021</v>
      </c>
      <c r="D3" s="74">
        <v>2022</v>
      </c>
      <c r="E3" s="74">
        <v>2023</v>
      </c>
      <c r="F3" s="74">
        <v>2024</v>
      </c>
      <c r="G3" s="74">
        <v>2025</v>
      </c>
      <c r="H3" s="75">
        <v>2026</v>
      </c>
      <c r="I3" s="75">
        <v>2027</v>
      </c>
      <c r="J3" s="75">
        <v>2028</v>
      </c>
      <c r="K3" s="75">
        <v>2029</v>
      </c>
      <c r="L3" s="75">
        <v>2030</v>
      </c>
      <c r="M3" s="75">
        <v>2031</v>
      </c>
      <c r="N3" s="75">
        <v>2032</v>
      </c>
      <c r="O3" s="75">
        <v>2033</v>
      </c>
      <c r="P3" s="75">
        <v>2034</v>
      </c>
      <c r="Q3" s="75">
        <v>2035</v>
      </c>
    </row>
    <row r="4" spans="2:21" x14ac:dyDescent="0.35">
      <c r="F4" s="15"/>
      <c r="G4" s="15"/>
      <c r="Q4" s="15" t="s">
        <v>113</v>
      </c>
    </row>
    <row r="5" spans="2:21" x14ac:dyDescent="0.35">
      <c r="B5" s="64" t="s">
        <v>0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/>
      <c r="S5"/>
      <c r="T5"/>
      <c r="U5"/>
    </row>
    <row r="6" spans="2:21" x14ac:dyDescent="0.35">
      <c r="B6" t="s">
        <v>404</v>
      </c>
      <c r="C6" s="14">
        <f>'Revenue Forecast'!C29</f>
        <v>6994.9925813</v>
      </c>
      <c r="D6" s="14">
        <f>'Revenue Forecast'!D29</f>
        <v>8168.1681283999997</v>
      </c>
      <c r="E6" s="14">
        <f>'Revenue Forecast'!E29</f>
        <v>6637.4271405</v>
      </c>
      <c r="F6" s="14">
        <f>'Revenue Forecast'!F29</f>
        <v>7512.1154615999994</v>
      </c>
      <c r="G6" s="14">
        <f>'Revenue Forecast'!G29</f>
        <v>7082.2475702000002</v>
      </c>
      <c r="H6" s="14">
        <f>'Revenue Forecast'!H29</f>
        <v>7509.8475447968203</v>
      </c>
      <c r="I6" s="14">
        <f>'Revenue Forecast'!I29</f>
        <v>9103.1236158468309</v>
      </c>
      <c r="J6" s="14">
        <f>'Revenue Forecast'!J29</f>
        <v>9775.5383795418948</v>
      </c>
      <c r="K6" s="14">
        <f>'Revenue Forecast'!K29</f>
        <v>10441.936945064605</v>
      </c>
      <c r="L6" s="14">
        <f>'Revenue Forecast'!L29</f>
        <v>11070.646309090327</v>
      </c>
      <c r="M6" s="14">
        <f>'Revenue Forecast'!M29</f>
        <v>11606.194152362737</v>
      </c>
      <c r="N6" s="14">
        <f>'Revenue Forecast'!N29</f>
        <v>12139.314879821577</v>
      </c>
      <c r="O6" s="14">
        <f>'Revenue Forecast'!O29</f>
        <v>12672.719941843961</v>
      </c>
      <c r="P6" s="14">
        <f>'Revenue Forecast'!P29</f>
        <v>13168.230251365492</v>
      </c>
      <c r="Q6" s="14">
        <f>'Revenue Forecast'!Q29</f>
        <v>13656.220342234297</v>
      </c>
    </row>
    <row r="7" spans="2:21" x14ac:dyDescent="0.35">
      <c r="B7" s="129" t="s">
        <v>392</v>
      </c>
      <c r="C7" s="54">
        <f>'Revenue Forecast'!C30</f>
        <v>0.70279999999999998</v>
      </c>
      <c r="D7" s="54">
        <f>'Revenue Forecast'!D30</f>
        <v>0.16771648196401201</v>
      </c>
      <c r="E7" s="54">
        <f>'Revenue Forecast'!E30</f>
        <v>-0.18740321744575117</v>
      </c>
      <c r="F7" s="54">
        <f>'Revenue Forecast'!F30</f>
        <v>0.13178123127903874</v>
      </c>
      <c r="G7" s="54">
        <f>'Revenue Forecast'!G30</f>
        <v>-5.7223280658740272E-2</v>
      </c>
      <c r="H7" s="54">
        <f>'Revenue Forecast'!H30</f>
        <v>6.0376309971997388E-2</v>
      </c>
      <c r="I7" s="54">
        <f>'Revenue Forecast'!I30</f>
        <v>0.21215824443119469</v>
      </c>
      <c r="J7" s="54">
        <f>'Revenue Forecast'!J30</f>
        <v>7.3866377308610343E-2</v>
      </c>
      <c r="K7" s="54">
        <f>'Revenue Forecast'!K30</f>
        <v>6.8170011681130349E-2</v>
      </c>
      <c r="L7" s="54">
        <f>'Revenue Forecast'!L30</f>
        <v>6.0210032614962605E-2</v>
      </c>
      <c r="M7" s="54">
        <f>'Revenue Forecast'!M30</f>
        <v>4.8375481279052446E-2</v>
      </c>
      <c r="N7" s="54">
        <f>'Revenue Forecast'!N30</f>
        <v>4.5934155543168265E-2</v>
      </c>
      <c r="O7" s="54">
        <f>'Revenue Forecast'!O30</f>
        <v>4.3940293773006012E-2</v>
      </c>
      <c r="P7" s="54">
        <f>'Revenue Forecast'!P30</f>
        <v>3.9100549195079104E-2</v>
      </c>
      <c r="Q7" s="54">
        <f>'Revenue Forecast'!Q30</f>
        <v>3.7058137772021604E-2</v>
      </c>
    </row>
    <row r="8" spans="2:21" x14ac:dyDescent="0.35">
      <c r="B8" t="s">
        <v>102</v>
      </c>
      <c r="C8" s="14">
        <f>'Historical FS'!C7</f>
        <v>4351.5489526000001</v>
      </c>
      <c r="D8" s="14">
        <f>'Historical FS'!D7</f>
        <v>5514.6823463000001</v>
      </c>
      <c r="E8" s="14">
        <f>'Historical FS'!E7</f>
        <v>4302.2875678999999</v>
      </c>
      <c r="F8" s="14">
        <f>'Historical FS'!F7</f>
        <v>4647.3228347000004</v>
      </c>
      <c r="G8" s="14">
        <f>'Historical FS'!G7</f>
        <v>4529.1678431999999</v>
      </c>
      <c r="H8" s="14">
        <f>H6*Assumptions!D22</f>
        <v>4806.3024286699647</v>
      </c>
      <c r="I8" s="14">
        <f>I6*Assumptions!E22</f>
        <v>5825.9991141419723</v>
      </c>
      <c r="J8" s="14">
        <f>J6*Assumptions!F22</f>
        <v>6158.5891791113936</v>
      </c>
      <c r="K8" s="14">
        <f>K6*Assumptions!G22</f>
        <v>6578.4202753907011</v>
      </c>
      <c r="L8" s="14">
        <f>L6*Assumptions!H22</f>
        <v>6974.5071747269058</v>
      </c>
      <c r="M8" s="14">
        <f>M6*Assumptions!I22</f>
        <v>7195.8403744648967</v>
      </c>
      <c r="N8" s="14">
        <f>N6*Assumptions!J22</f>
        <v>7526.375225489378</v>
      </c>
      <c r="O8" s="14">
        <f>O6*Assumptions!K22</f>
        <v>7603.6319651063768</v>
      </c>
      <c r="P8" s="14">
        <f>P6*Assumptions!L22</f>
        <v>7900.9381508192946</v>
      </c>
      <c r="Q8" s="14">
        <f>Q6*Assumptions!M22</f>
        <v>8193.7322053405787</v>
      </c>
    </row>
    <row r="9" spans="2:21" x14ac:dyDescent="0.35">
      <c r="B9" s="129" t="s">
        <v>405</v>
      </c>
      <c r="C9" s="54">
        <f>C8/C6</f>
        <v>0.6220948631501303</v>
      </c>
      <c r="D9" s="54">
        <f>D8/D6</f>
        <v>0.67514309935981076</v>
      </c>
      <c r="E9" s="54">
        <f t="shared" ref="E9:Q9" si="0">E8/E6</f>
        <v>0.64818603305616207</v>
      </c>
      <c r="F9" s="54">
        <f t="shared" si="0"/>
        <v>0.61864369077604286</v>
      </c>
      <c r="G9" s="54">
        <f t="shared" si="0"/>
        <v>0.6395099575814599</v>
      </c>
      <c r="H9" s="54">
        <f t="shared" si="0"/>
        <v>0.6399999999999999</v>
      </c>
      <c r="I9" s="54">
        <f t="shared" si="0"/>
        <v>0.64</v>
      </c>
      <c r="J9" s="54">
        <f t="shared" si="0"/>
        <v>0.63</v>
      </c>
      <c r="K9" s="54">
        <f t="shared" si="0"/>
        <v>0.63</v>
      </c>
      <c r="L9" s="54">
        <f t="shared" si="0"/>
        <v>0.63</v>
      </c>
      <c r="M9" s="54">
        <f t="shared" si="0"/>
        <v>0.62</v>
      </c>
      <c r="N9" s="54">
        <f t="shared" si="0"/>
        <v>0.62</v>
      </c>
      <c r="O9" s="54">
        <f t="shared" si="0"/>
        <v>0.6</v>
      </c>
      <c r="P9" s="54">
        <f t="shared" si="0"/>
        <v>0.6</v>
      </c>
      <c r="Q9" s="54">
        <f t="shared" si="0"/>
        <v>0.6</v>
      </c>
    </row>
    <row r="10" spans="2:21" x14ac:dyDescent="0.35">
      <c r="B10" s="13" t="s">
        <v>103</v>
      </c>
      <c r="C10" s="84">
        <f>C6-C8</f>
        <v>2643.4436286999999</v>
      </c>
      <c r="D10" s="84">
        <f t="shared" ref="D10:G10" si="1">D6-D8</f>
        <v>2653.4857820999996</v>
      </c>
      <c r="E10" s="84">
        <f t="shared" si="1"/>
        <v>2335.1395726000001</v>
      </c>
      <c r="F10" s="84">
        <f t="shared" si="1"/>
        <v>2864.792626899999</v>
      </c>
      <c r="G10" s="84">
        <f t="shared" si="1"/>
        <v>2553.0797270000003</v>
      </c>
      <c r="H10" s="84">
        <f t="shared" ref="H10" si="2">H6-H8</f>
        <v>2703.5451161268556</v>
      </c>
      <c r="I10" s="84">
        <f t="shared" ref="I10" si="3">I6-I8</f>
        <v>3277.1245017048586</v>
      </c>
      <c r="J10" s="84">
        <f t="shared" ref="J10" si="4">J6-J8</f>
        <v>3616.9492004305012</v>
      </c>
      <c r="K10" s="84">
        <f t="shared" ref="K10" si="5">K6-K8</f>
        <v>3863.5166696739034</v>
      </c>
      <c r="L10" s="84">
        <f t="shared" ref="L10" si="6">L6-L8</f>
        <v>4096.1391343634214</v>
      </c>
      <c r="M10" s="84">
        <f t="shared" ref="M10" si="7">M6-M8</f>
        <v>4410.3537778978407</v>
      </c>
      <c r="N10" s="84">
        <f t="shared" ref="N10" si="8">N6-N8</f>
        <v>4612.9396543321991</v>
      </c>
      <c r="O10" s="84">
        <f t="shared" ref="O10" si="9">O6-O8</f>
        <v>5069.0879767375845</v>
      </c>
      <c r="P10" s="84">
        <f t="shared" ref="P10" si="10">P6-P8</f>
        <v>5267.2921005461976</v>
      </c>
      <c r="Q10" s="84">
        <f t="shared" ref="Q10" si="11">Q6-Q8</f>
        <v>5462.4881368937185</v>
      </c>
    </row>
    <row r="11" spans="2:21" x14ac:dyDescent="0.35">
      <c r="B11" s="129" t="s">
        <v>393</v>
      </c>
      <c r="C11" s="54">
        <f>C10/C6</f>
        <v>0.3779051368498697</v>
      </c>
      <c r="D11" s="54">
        <f t="shared" ref="D11:Q11" si="12">D10/D6</f>
        <v>0.32485690064018929</v>
      </c>
      <c r="E11" s="54">
        <f t="shared" si="12"/>
        <v>0.35181396694383799</v>
      </c>
      <c r="F11" s="54">
        <f t="shared" si="12"/>
        <v>0.38135630922395714</v>
      </c>
      <c r="G11" s="54">
        <f t="shared" si="12"/>
        <v>0.36049004241854005</v>
      </c>
      <c r="H11" s="54">
        <f t="shared" si="12"/>
        <v>0.36000000000000004</v>
      </c>
      <c r="I11" s="54">
        <f t="shared" si="12"/>
        <v>0.35999999999999993</v>
      </c>
      <c r="J11" s="54">
        <f t="shared" si="12"/>
        <v>0.37</v>
      </c>
      <c r="K11" s="54">
        <f t="shared" si="12"/>
        <v>0.37</v>
      </c>
      <c r="L11" s="54">
        <f t="shared" si="12"/>
        <v>0.37000000000000005</v>
      </c>
      <c r="M11" s="54">
        <f t="shared" si="12"/>
        <v>0.38000000000000006</v>
      </c>
      <c r="N11" s="54">
        <f t="shared" si="12"/>
        <v>0.38</v>
      </c>
      <c r="O11" s="54">
        <f t="shared" si="12"/>
        <v>0.4</v>
      </c>
      <c r="P11" s="54">
        <f t="shared" si="12"/>
        <v>0.40000000000000008</v>
      </c>
      <c r="Q11" s="54">
        <f t="shared" si="12"/>
        <v>0.39999999999999997</v>
      </c>
    </row>
    <row r="12" spans="2:21" x14ac:dyDescent="0.35">
      <c r="C12" s="17"/>
      <c r="D12" s="17"/>
      <c r="E12" s="17"/>
      <c r="F12" s="17"/>
      <c r="G12" s="17"/>
    </row>
    <row r="13" spans="2:21" x14ac:dyDescent="0.35">
      <c r="B13" t="s">
        <v>406</v>
      </c>
      <c r="C13" s="14">
        <f>'Historical FS'!C10+'Historical FS'!C11</f>
        <v>708.91123400000004</v>
      </c>
      <c r="D13" s="14">
        <f>'Historical FS'!D10+'Historical FS'!D11</f>
        <v>918.45216660000006</v>
      </c>
      <c r="E13" s="14">
        <f>'Historical FS'!E10+'Historical FS'!E11</f>
        <v>778.29019619999997</v>
      </c>
      <c r="F13" s="14">
        <f>'Historical FS'!F10+'Historical FS'!F11</f>
        <v>985.09004440000001</v>
      </c>
      <c r="G13" s="14">
        <f>'Historical FS'!G10+'Historical FS'!G11</f>
        <v>1070.9513504000001</v>
      </c>
      <c r="H13" s="14">
        <f>H6*Assumptions!D23</f>
        <v>901.18170537561844</v>
      </c>
      <c r="I13" s="14">
        <f>I6*Assumptions!E23</f>
        <v>1065.0654630540794</v>
      </c>
      <c r="J13" s="14">
        <f>J6*Assumptions!F23</f>
        <v>1114.4113752677761</v>
      </c>
      <c r="K13" s="14">
        <f>K6*Assumptions!G23</f>
        <v>1169.4969378472358</v>
      </c>
      <c r="L13" s="14">
        <f>L6*Assumptions!H23</f>
        <v>1217.7710939999361</v>
      </c>
      <c r="M13" s="14">
        <f>M6*Assumptions!I23</f>
        <v>1160.6194152362739</v>
      </c>
      <c r="N13" s="14">
        <f>N6*Assumptions!J23</f>
        <v>1213.9314879821577</v>
      </c>
      <c r="O13" s="14">
        <f>O6*Assumptions!K23</f>
        <v>1267.2719941843961</v>
      </c>
      <c r="P13" s="14">
        <f>P6*Assumptions!L23</f>
        <v>1316.8230251365494</v>
      </c>
      <c r="Q13" s="14">
        <f>Q6*Assumptions!M23</f>
        <v>1365.6220342234299</v>
      </c>
    </row>
    <row r="14" spans="2:21" x14ac:dyDescent="0.35">
      <c r="B14" s="129" t="s">
        <v>407</v>
      </c>
      <c r="C14" s="54">
        <f t="shared" ref="C14:Q14" si="13">C13/C6</f>
        <v>0.10134553050065578</v>
      </c>
      <c r="D14" s="54">
        <f t="shared" si="13"/>
        <v>0.11244285770840379</v>
      </c>
      <c r="E14" s="54">
        <f t="shared" si="13"/>
        <v>0.11725781386752383</v>
      </c>
      <c r="F14" s="54">
        <f t="shared" si="13"/>
        <v>0.13113350685775887</v>
      </c>
      <c r="G14" s="54">
        <f t="shared" si="13"/>
        <v>0.15121631089348617</v>
      </c>
      <c r="H14" s="54">
        <f t="shared" si="13"/>
        <v>0.12</v>
      </c>
      <c r="I14" s="54">
        <f t="shared" si="13"/>
        <v>0.11700000000000002</v>
      </c>
      <c r="J14" s="54">
        <f t="shared" si="13"/>
        <v>0.114</v>
      </c>
      <c r="K14" s="54">
        <f t="shared" si="13"/>
        <v>0.11200000000000002</v>
      </c>
      <c r="L14" s="54">
        <f t="shared" si="13"/>
        <v>0.11</v>
      </c>
      <c r="M14" s="54">
        <f t="shared" si="13"/>
        <v>0.1</v>
      </c>
      <c r="N14" s="54">
        <f t="shared" si="13"/>
        <v>0.1</v>
      </c>
      <c r="O14" s="54">
        <f t="shared" si="13"/>
        <v>0.1</v>
      </c>
      <c r="P14" s="54">
        <f t="shared" si="13"/>
        <v>0.10000000000000002</v>
      </c>
      <c r="Q14" s="54">
        <f t="shared" si="13"/>
        <v>0.1</v>
      </c>
    </row>
    <row r="15" spans="2:21" x14ac:dyDescent="0.35">
      <c r="B15" t="s">
        <v>318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f>Assumptions!E24</f>
        <v>50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</row>
    <row r="16" spans="2:21" x14ac:dyDescent="0.35">
      <c r="B16" s="129" t="s">
        <v>408</v>
      </c>
      <c r="C16" s="54">
        <f t="shared" ref="C16:Q16" si="14">C15/C6</f>
        <v>0</v>
      </c>
      <c r="D16" s="54">
        <f t="shared" si="14"/>
        <v>0</v>
      </c>
      <c r="E16" s="54">
        <f t="shared" si="14"/>
        <v>0</v>
      </c>
      <c r="F16" s="54">
        <f t="shared" si="14"/>
        <v>0</v>
      </c>
      <c r="G16" s="54">
        <f t="shared" si="14"/>
        <v>0</v>
      </c>
      <c r="H16" s="54">
        <f t="shared" si="14"/>
        <v>0</v>
      </c>
      <c r="I16" s="54">
        <f t="shared" si="14"/>
        <v>5.4926201279920416E-3</v>
      </c>
      <c r="J16" s="54">
        <f t="shared" si="14"/>
        <v>0</v>
      </c>
      <c r="K16" s="54">
        <f t="shared" si="14"/>
        <v>0</v>
      </c>
      <c r="L16" s="54">
        <f t="shared" si="14"/>
        <v>0</v>
      </c>
      <c r="M16" s="54">
        <f t="shared" si="14"/>
        <v>0</v>
      </c>
      <c r="N16" s="54">
        <f t="shared" si="14"/>
        <v>0</v>
      </c>
      <c r="O16" s="54">
        <f t="shared" si="14"/>
        <v>0</v>
      </c>
      <c r="P16" s="54">
        <f t="shared" si="14"/>
        <v>0</v>
      </c>
      <c r="Q16" s="54">
        <f t="shared" si="14"/>
        <v>0</v>
      </c>
    </row>
    <row r="17" spans="2:19" x14ac:dyDescent="0.35">
      <c r="B17" t="s">
        <v>394</v>
      </c>
      <c r="C17" s="14">
        <f>C13+C15</f>
        <v>708.91123400000004</v>
      </c>
      <c r="D17" s="14">
        <f t="shared" ref="D17:Q17" si="15">D13+D15</f>
        <v>918.45216660000006</v>
      </c>
      <c r="E17" s="14">
        <f t="shared" si="15"/>
        <v>778.29019619999997</v>
      </c>
      <c r="F17" s="14">
        <f t="shared" si="15"/>
        <v>985.09004440000001</v>
      </c>
      <c r="G17" s="14">
        <f t="shared" si="15"/>
        <v>1070.9513504000001</v>
      </c>
      <c r="H17" s="14">
        <f t="shared" si="15"/>
        <v>901.18170537561844</v>
      </c>
      <c r="I17" s="14">
        <f t="shared" si="15"/>
        <v>1115.0654630540794</v>
      </c>
      <c r="J17" s="14">
        <f t="shared" si="15"/>
        <v>1114.4113752677761</v>
      </c>
      <c r="K17" s="14">
        <f t="shared" si="15"/>
        <v>1169.4969378472358</v>
      </c>
      <c r="L17" s="14">
        <f t="shared" si="15"/>
        <v>1217.7710939999361</v>
      </c>
      <c r="M17" s="14">
        <f t="shared" si="15"/>
        <v>1160.6194152362739</v>
      </c>
      <c r="N17" s="14">
        <f t="shared" si="15"/>
        <v>1213.9314879821577</v>
      </c>
      <c r="O17" s="14">
        <f t="shared" si="15"/>
        <v>1267.2719941843961</v>
      </c>
      <c r="P17" s="14">
        <f t="shared" si="15"/>
        <v>1316.8230251365494</v>
      </c>
      <c r="Q17" s="14">
        <f t="shared" si="15"/>
        <v>1365.6220342234299</v>
      </c>
    </row>
    <row r="18" spans="2:19" x14ac:dyDescent="0.35">
      <c r="B18" s="129" t="s">
        <v>395</v>
      </c>
      <c r="C18" s="54">
        <f t="shared" ref="C18:Q18" si="16">C17/C6</f>
        <v>0.10134553050065578</v>
      </c>
      <c r="D18" s="54">
        <f t="shared" si="16"/>
        <v>0.11244285770840379</v>
      </c>
      <c r="E18" s="54">
        <f t="shared" si="16"/>
        <v>0.11725781386752383</v>
      </c>
      <c r="F18" s="54">
        <f t="shared" si="16"/>
        <v>0.13113350685775887</v>
      </c>
      <c r="G18" s="54">
        <f t="shared" si="16"/>
        <v>0.15121631089348617</v>
      </c>
      <c r="H18" s="54">
        <f t="shared" si="16"/>
        <v>0.12</v>
      </c>
      <c r="I18" s="54">
        <f t="shared" si="16"/>
        <v>0.12249262012799206</v>
      </c>
      <c r="J18" s="54">
        <f t="shared" si="16"/>
        <v>0.114</v>
      </c>
      <c r="K18" s="54">
        <f t="shared" si="16"/>
        <v>0.11200000000000002</v>
      </c>
      <c r="L18" s="54">
        <f t="shared" si="16"/>
        <v>0.11</v>
      </c>
      <c r="M18" s="54">
        <f t="shared" si="16"/>
        <v>0.1</v>
      </c>
      <c r="N18" s="54">
        <f t="shared" si="16"/>
        <v>0.1</v>
      </c>
      <c r="O18" s="54">
        <f t="shared" si="16"/>
        <v>0.1</v>
      </c>
      <c r="P18" s="54">
        <f t="shared" si="16"/>
        <v>0.10000000000000002</v>
      </c>
      <c r="Q18" s="54">
        <f t="shared" si="16"/>
        <v>0.1</v>
      </c>
    </row>
    <row r="19" spans="2:19" x14ac:dyDescent="0.35">
      <c r="B19" s="13" t="s">
        <v>104</v>
      </c>
      <c r="C19" s="84">
        <f t="shared" ref="C19:Q19" si="17">C10-C17+C22</f>
        <v>2103.2939810999997</v>
      </c>
      <c r="D19" s="84">
        <f t="shared" si="17"/>
        <v>1927.8944273999996</v>
      </c>
      <c r="E19" s="84">
        <f t="shared" si="17"/>
        <v>1771.5468329</v>
      </c>
      <c r="F19" s="84">
        <f t="shared" si="17"/>
        <v>2131.298454199999</v>
      </c>
      <c r="G19" s="84">
        <f t="shared" si="17"/>
        <v>1778.2094820000002</v>
      </c>
      <c r="H19" s="84">
        <f>H10-H17+H22</f>
        <v>2051.9637605394209</v>
      </c>
      <c r="I19" s="84">
        <f t="shared" si="17"/>
        <v>2426.3060008860989</v>
      </c>
      <c r="J19" s="84">
        <f t="shared" si="17"/>
        <v>2781.3328006957918</v>
      </c>
      <c r="K19" s="84">
        <f t="shared" si="17"/>
        <v>2988.597554377533</v>
      </c>
      <c r="L19" s="84">
        <f t="shared" si="17"/>
        <v>3189.9084985630921</v>
      </c>
      <c r="M19" s="84">
        <f t="shared" si="17"/>
        <v>3579.2837219966063</v>
      </c>
      <c r="N19" s="84">
        <f t="shared" si="17"/>
        <v>3747.3429185044261</v>
      </c>
      <c r="O19" s="84">
        <f t="shared" si="17"/>
        <v>4169.6814414176624</v>
      </c>
      <c r="P19" s="84">
        <f t="shared" si="17"/>
        <v>4338.5872522167583</v>
      </c>
      <c r="Q19" s="84">
        <f t="shared" si="17"/>
        <v>4505.8397198558323</v>
      </c>
    </row>
    <row r="20" spans="2:19" x14ac:dyDescent="0.35">
      <c r="B20" s="129" t="s">
        <v>396</v>
      </c>
      <c r="C20" s="54">
        <f t="shared" ref="C20:Q20" si="18">C19/C6</f>
        <v>0.30068566287301313</v>
      </c>
      <c r="D20" s="54">
        <f t="shared" si="18"/>
        <v>0.23602531156243967</v>
      </c>
      <c r="E20" s="54">
        <f t="shared" si="18"/>
        <v>0.26690264094809313</v>
      </c>
      <c r="F20" s="54">
        <f t="shared" si="18"/>
        <v>0.28371481576589819</v>
      </c>
      <c r="G20" s="54">
        <f t="shared" si="18"/>
        <v>0.25107982520720951</v>
      </c>
      <c r="H20" s="54">
        <f t="shared" si="18"/>
        <v>0.27323640703746632</v>
      </c>
      <c r="I20" s="54">
        <f t="shared" si="18"/>
        <v>0.26653554354269726</v>
      </c>
      <c r="J20" s="54">
        <f t="shared" si="18"/>
        <v>0.28451965433602355</v>
      </c>
      <c r="K20" s="54">
        <f t="shared" si="18"/>
        <v>0.28621103250293978</v>
      </c>
      <c r="L20" s="54">
        <f t="shared" si="18"/>
        <v>0.28814112649807944</v>
      </c>
      <c r="M20" s="54">
        <f t="shared" si="18"/>
        <v>0.30839426559721572</v>
      </c>
      <c r="N20" s="54">
        <f t="shared" si="18"/>
        <v>0.30869476206877206</v>
      </c>
      <c r="O20" s="54">
        <f t="shared" si="18"/>
        <v>0.32902813764942612</v>
      </c>
      <c r="P20" s="54">
        <f t="shared" si="18"/>
        <v>0.32947382977047079</v>
      </c>
      <c r="Q20" s="54">
        <f t="shared" si="18"/>
        <v>0.32994778986691647</v>
      </c>
    </row>
    <row r="22" spans="2:19" x14ac:dyDescent="0.35">
      <c r="B22" t="s">
        <v>117</v>
      </c>
      <c r="C22" s="14">
        <f>'Historical FS'!C13</f>
        <v>168.7615864</v>
      </c>
      <c r="D22" s="14">
        <f>'Historical FS'!D13</f>
        <v>192.86081189999999</v>
      </c>
      <c r="E22" s="14">
        <f>'Historical FS'!E13</f>
        <v>214.69745649999999</v>
      </c>
      <c r="F22" s="14">
        <f>'Historical FS'!F13</f>
        <v>251.5958717</v>
      </c>
      <c r="G22" s="14">
        <f>'Historical FS'!G13</f>
        <v>296.08110540000001</v>
      </c>
      <c r="H22" s="14">
        <f>'Depreciation Schedule'!D10</f>
        <v>249.60034978818405</v>
      </c>
      <c r="I22" s="14">
        <f>'Depreciation Schedule'!E10</f>
        <v>264.24696223531947</v>
      </c>
      <c r="J22" s="14">
        <f>'Depreciation Schedule'!F10</f>
        <v>278.79497553306658</v>
      </c>
      <c r="K22" s="14">
        <f>'Depreciation Schedule'!G10</f>
        <v>294.57782255086551</v>
      </c>
      <c r="L22" s="14">
        <f>'Depreciation Schedule'!H10</f>
        <v>311.54045819960686</v>
      </c>
      <c r="M22" s="14">
        <f>'Depreciation Schedule'!I10</f>
        <v>329.54935933503958</v>
      </c>
      <c r="N22" s="14">
        <f>'Depreciation Schedule'!J10</f>
        <v>348.33475215438489</v>
      </c>
      <c r="O22" s="14">
        <f>'Depreciation Schedule'!K10</f>
        <v>367.86545886447425</v>
      </c>
      <c r="P22" s="14">
        <f>'Depreciation Schedule'!L10</f>
        <v>388.1181768071101</v>
      </c>
      <c r="Q22" s="14">
        <f>'Depreciation Schedule'!M10</f>
        <v>408.9736171855439</v>
      </c>
    </row>
    <row r="23" spans="2:19" x14ac:dyDescent="0.35">
      <c r="B23" s="13" t="s">
        <v>266</v>
      </c>
      <c r="C23" s="84">
        <f>C19-C22</f>
        <v>1934.5323946999997</v>
      </c>
      <c r="D23" s="84">
        <f>D19-D22</f>
        <v>1735.0336154999995</v>
      </c>
      <c r="E23" s="84">
        <f>E19-E22</f>
        <v>1556.8493764</v>
      </c>
      <c r="F23" s="84">
        <f>F19-F22</f>
        <v>1879.7025824999989</v>
      </c>
      <c r="G23" s="84">
        <f>G19-G22</f>
        <v>1482.1283766000001</v>
      </c>
      <c r="H23" s="84">
        <f t="shared" ref="H23:Q23" si="19">H19-H22</f>
        <v>1802.3634107512369</v>
      </c>
      <c r="I23" s="84">
        <f t="shared" si="19"/>
        <v>2162.0590386507793</v>
      </c>
      <c r="J23" s="84">
        <f t="shared" si="19"/>
        <v>2502.5378251627253</v>
      </c>
      <c r="K23" s="84">
        <f t="shared" si="19"/>
        <v>2694.0197318266673</v>
      </c>
      <c r="L23" s="84">
        <f t="shared" si="19"/>
        <v>2878.3680403634853</v>
      </c>
      <c r="M23" s="84">
        <f t="shared" si="19"/>
        <v>3249.7343626615666</v>
      </c>
      <c r="N23" s="84">
        <f t="shared" si="19"/>
        <v>3399.0081663500414</v>
      </c>
      <c r="O23" s="84">
        <f t="shared" si="19"/>
        <v>3801.8159825531884</v>
      </c>
      <c r="P23" s="84">
        <f t="shared" si="19"/>
        <v>3950.4690754096482</v>
      </c>
      <c r="Q23" s="84">
        <f t="shared" si="19"/>
        <v>4096.8661026702885</v>
      </c>
    </row>
    <row r="24" spans="2:19" x14ac:dyDescent="0.35">
      <c r="B24" s="129" t="s">
        <v>397</v>
      </c>
      <c r="C24" s="54">
        <f t="shared" ref="C24:Q24" si="20">C23/C6</f>
        <v>0.27655960634921389</v>
      </c>
      <c r="D24" s="54">
        <f t="shared" si="20"/>
        <v>0.21241404293178551</v>
      </c>
      <c r="E24" s="54">
        <f t="shared" si="20"/>
        <v>0.23455615307631414</v>
      </c>
      <c r="F24" s="54">
        <f t="shared" si="20"/>
        <v>0.25022280236619826</v>
      </c>
      <c r="G24" s="54">
        <f t="shared" si="20"/>
        <v>0.20927373152505391</v>
      </c>
      <c r="H24" s="54">
        <f t="shared" si="20"/>
        <v>0.24</v>
      </c>
      <c r="I24" s="54">
        <f t="shared" si="20"/>
        <v>0.23750737987200787</v>
      </c>
      <c r="J24" s="54">
        <f t="shared" si="20"/>
        <v>0.25600000000000001</v>
      </c>
      <c r="K24" s="54">
        <f t="shared" si="20"/>
        <v>0.25799999999999995</v>
      </c>
      <c r="L24" s="54">
        <f t="shared" si="20"/>
        <v>0.26</v>
      </c>
      <c r="M24" s="54">
        <f t="shared" si="20"/>
        <v>0.28000000000000003</v>
      </c>
      <c r="N24" s="54">
        <f t="shared" si="20"/>
        <v>0.27999999999999997</v>
      </c>
      <c r="O24" s="54">
        <f t="shared" si="20"/>
        <v>0.3</v>
      </c>
      <c r="P24" s="54">
        <f t="shared" si="20"/>
        <v>0.30000000000000004</v>
      </c>
      <c r="Q24" s="54">
        <f t="shared" si="20"/>
        <v>0.29999999999999993</v>
      </c>
    </row>
    <row r="25" spans="2:19" x14ac:dyDescent="0.35">
      <c r="C25"/>
      <c r="D25"/>
      <c r="E25"/>
      <c r="F25"/>
      <c r="G25"/>
      <c r="H25"/>
      <c r="I25"/>
    </row>
    <row r="26" spans="2:19" x14ac:dyDescent="0.35">
      <c r="B26" t="s">
        <v>398</v>
      </c>
      <c r="C26" s="14">
        <f>'Historical FS'!C15+'Historical FS'!C16</f>
        <v>59.578720799999999</v>
      </c>
      <c r="D26" s="14">
        <f>'Historical FS'!D15+'Historical FS'!D16</f>
        <v>35.033709900000005</v>
      </c>
      <c r="E26" s="14">
        <f>'Historical FS'!E15+'Historical FS'!E16</f>
        <v>20.193012</v>
      </c>
      <c r="F26" s="14">
        <f>'Historical FS'!F15+'Historical FS'!F16</f>
        <v>-9.4598251999999992</v>
      </c>
      <c r="G26" s="14">
        <f>'Historical FS'!G15+'Historical FS'!G16</f>
        <v>26.6614954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</row>
    <row r="27" spans="2:19" x14ac:dyDescent="0.35">
      <c r="B27" t="s">
        <v>399</v>
      </c>
      <c r="C27" s="14">
        <f>'Historical FS'!C17</f>
        <v>0</v>
      </c>
      <c r="D27" s="14">
        <f>'Historical FS'!D17</f>
        <v>0</v>
      </c>
      <c r="E27" s="14">
        <f>'Historical FS'!E17</f>
        <v>3.2175044000000002</v>
      </c>
      <c r="F27" s="14">
        <f>'Historical FS'!F17</f>
        <v>17.1221879</v>
      </c>
      <c r="G27" s="14">
        <f>'Historical FS'!G17</f>
        <v>29.0334678</v>
      </c>
      <c r="H27" s="17">
        <f ca="1">'Debt Schedule'!D40</f>
        <v>30.920321674652179</v>
      </c>
      <c r="I27" s="17">
        <f ca="1">'Debt Schedule'!E40</f>
        <v>27.609976060731274</v>
      </c>
      <c r="J27" s="17">
        <f ca="1">'Debt Schedule'!F40</f>
        <v>17.525029319962545</v>
      </c>
      <c r="K27" s="17">
        <f ca="1">'Debt Schedule'!G40</f>
        <v>24.225731457636943</v>
      </c>
      <c r="L27" s="17">
        <f ca="1">'Debt Schedule'!H40</f>
        <v>31.67619757990553</v>
      </c>
      <c r="M27" s="17">
        <f ca="1">'Debt Schedule'!I40</f>
        <v>46.562214381454382</v>
      </c>
      <c r="N27" s="17">
        <f ca="1">'Debt Schedule'!J40</f>
        <v>62.448509605022267</v>
      </c>
      <c r="O27" s="17">
        <f ca="1">'Debt Schedule'!K40</f>
        <v>79.235032131394817</v>
      </c>
      <c r="P27" s="17">
        <f ca="1">'Debt Schedule'!L40</f>
        <v>100.88905201905425</v>
      </c>
      <c r="Q27" s="17">
        <f ca="1">'Debt Schedule'!M40</f>
        <v>123.0553557139196</v>
      </c>
      <c r="S27" s="30"/>
    </row>
    <row r="28" spans="2:19" x14ac:dyDescent="0.35">
      <c r="B28" t="s">
        <v>400</v>
      </c>
      <c r="C28" s="14">
        <f>-'Historical FS'!C18</f>
        <v>-124.5679758</v>
      </c>
      <c r="D28" s="14">
        <f>-'Historical FS'!D18</f>
        <v>-473.83251059999998</v>
      </c>
      <c r="E28" s="14">
        <f>-'Historical FS'!E18</f>
        <v>-753.58559909999997</v>
      </c>
      <c r="F28" s="14">
        <f>-'Historical FS'!F18</f>
        <v>-459.12358360000002</v>
      </c>
      <c r="G28" s="14">
        <f>-'Historical FS'!G18</f>
        <v>-448.40387320000002</v>
      </c>
      <c r="H28" s="17">
        <f ca="1">-'Debt Schedule'!D38</f>
        <v>-437.98457752573421</v>
      </c>
      <c r="I28" s="17">
        <f ca="1">-'Debt Schedule'!E38</f>
        <v>-470.80363438924206</v>
      </c>
      <c r="J28" s="17">
        <f ca="1">-'Debt Schedule'!F38</f>
        <v>-484.65435289719471</v>
      </c>
      <c r="K28" s="17">
        <f ca="1">-'Debt Schedule'!G38</f>
        <v>-498.38114689921383</v>
      </c>
      <c r="L28" s="17">
        <f ca="1">-'Debt Schedule'!H38</f>
        <v>-511.33160083716945</v>
      </c>
      <c r="M28" s="17">
        <f ca="1">-'Debt Schedule'!I38</f>
        <v>-522.36306954547877</v>
      </c>
      <c r="N28" s="17">
        <f ca="1">-'Debt Schedule'!J38</f>
        <v>-533.34454337007196</v>
      </c>
      <c r="O28" s="17">
        <f ca="1">-'Debt Schedule'!K38</f>
        <v>-544.33187405298281</v>
      </c>
      <c r="P28" s="17">
        <f ca="1">-'Debt Schedule'!L38</f>
        <v>-554.53863063467452</v>
      </c>
      <c r="Q28" s="17">
        <f ca="1">-'Debt Schedule'!M38</f>
        <v>-564.59048218259682</v>
      </c>
    </row>
    <row r="29" spans="2:19" x14ac:dyDescent="0.35">
      <c r="B29" s="13" t="s">
        <v>401</v>
      </c>
      <c r="C29" s="84">
        <f>C23+SUM(C26:C28)</f>
        <v>1869.5431396999998</v>
      </c>
      <c r="D29" s="84">
        <f>D23+SUM(D26:D28)</f>
        <v>1296.2348147999996</v>
      </c>
      <c r="E29" s="84">
        <f t="shared" ref="E29:G29" si="21">E23+SUM(E26:E28)</f>
        <v>826.67429370000002</v>
      </c>
      <c r="F29" s="84">
        <f t="shared" si="21"/>
        <v>1428.241361599999</v>
      </c>
      <c r="G29" s="84">
        <f t="shared" si="21"/>
        <v>1089.4194666000001</v>
      </c>
      <c r="H29" s="84">
        <f t="shared" ref="H29" ca="1" si="22">H23+SUM(H26:H28)</f>
        <v>1395.2991549001549</v>
      </c>
      <c r="I29" s="84">
        <f t="shared" ref="I29" ca="1" si="23">I23+SUM(I26:I28)</f>
        <v>1718.8653803222685</v>
      </c>
      <c r="J29" s="84">
        <f t="shared" ref="J29" ca="1" si="24">J23+SUM(J26:J28)</f>
        <v>2035.408501585493</v>
      </c>
      <c r="K29" s="84">
        <f t="shared" ref="K29" ca="1" si="25">K23+SUM(K26:K28)</f>
        <v>2219.8643163850902</v>
      </c>
      <c r="L29" s="84">
        <f t="shared" ref="L29" ca="1" si="26">L23+SUM(L26:L28)</f>
        <v>2398.7126371062213</v>
      </c>
      <c r="M29" s="84">
        <f t="shared" ref="M29" ca="1" si="27">M23+SUM(M26:M28)</f>
        <v>2773.9335074975425</v>
      </c>
      <c r="N29" s="84">
        <f t="shared" ref="N29" ca="1" si="28">N23+SUM(N26:N28)</f>
        <v>2928.1121325849917</v>
      </c>
      <c r="O29" s="84">
        <f t="shared" ref="O29" ca="1" si="29">O23+SUM(O26:O28)</f>
        <v>3336.7191406316006</v>
      </c>
      <c r="P29" s="84">
        <f t="shared" ref="P29" ca="1" si="30">P23+SUM(P26:P28)</f>
        <v>3496.8194967940281</v>
      </c>
      <c r="Q29" s="84">
        <f t="shared" ref="Q29" ca="1" si="31">Q23+SUM(Q26:Q28)</f>
        <v>3655.3309762016111</v>
      </c>
    </row>
    <row r="31" spans="2:19" x14ac:dyDescent="0.35">
      <c r="B31" t="s">
        <v>133</v>
      </c>
      <c r="C31" s="14">
        <f>'Historical FS'!C20</f>
        <v>89.0258781</v>
      </c>
      <c r="D31" s="14">
        <f>'Historical FS'!D20</f>
        <v>61.725467399999999</v>
      </c>
      <c r="E31" s="14">
        <f>'Historical FS'!E20</f>
        <v>39.365446400000003</v>
      </c>
      <c r="F31" s="14">
        <f>'Historical FS'!F20</f>
        <v>68.011531500000004</v>
      </c>
      <c r="G31" s="14">
        <f>'Historical FS'!G20</f>
        <v>51.877117499999997</v>
      </c>
      <c r="H31" s="17">
        <f ca="1">H29*0.05</f>
        <v>69.764957745007749</v>
      </c>
      <c r="I31" s="17">
        <f t="shared" ref="I31:Q31" ca="1" si="32">I29*0.05</f>
        <v>85.943269016113433</v>
      </c>
      <c r="J31" s="17">
        <f t="shared" ca="1" si="32"/>
        <v>101.77042507927466</v>
      </c>
      <c r="K31" s="17">
        <f t="shared" ca="1" si="32"/>
        <v>110.99321581925452</v>
      </c>
      <c r="L31" s="17">
        <f t="shared" ca="1" si="32"/>
        <v>119.93563185531107</v>
      </c>
      <c r="M31" s="17">
        <f t="shared" ca="1" si="32"/>
        <v>138.69667537487712</v>
      </c>
      <c r="N31" s="17">
        <f t="shared" ca="1" si="32"/>
        <v>146.4056066292496</v>
      </c>
      <c r="O31" s="17">
        <f t="shared" ca="1" si="32"/>
        <v>166.83595703158005</v>
      </c>
      <c r="P31" s="17">
        <f t="shared" ca="1" si="32"/>
        <v>174.8409748397014</v>
      </c>
      <c r="Q31" s="17">
        <f t="shared" ca="1" si="32"/>
        <v>182.76654881008056</v>
      </c>
    </row>
    <row r="32" spans="2:19" x14ac:dyDescent="0.35">
      <c r="B32" s="13" t="s">
        <v>402</v>
      </c>
      <c r="C32" s="84">
        <f>C29-C31</f>
        <v>1780.5172615999998</v>
      </c>
      <c r="D32" s="84">
        <f t="shared" ref="D32:Q32" si="33">D29-D31</f>
        <v>1234.5093473999996</v>
      </c>
      <c r="E32" s="84">
        <f t="shared" si="33"/>
        <v>787.30884730000002</v>
      </c>
      <c r="F32" s="84">
        <f t="shared" si="33"/>
        <v>1360.2298300999989</v>
      </c>
      <c r="G32" s="84">
        <f t="shared" si="33"/>
        <v>1037.5423491000001</v>
      </c>
      <c r="H32" s="84">
        <f t="shared" ca="1" si="33"/>
        <v>1325.5341971551472</v>
      </c>
      <c r="I32" s="84">
        <f t="shared" ca="1" si="33"/>
        <v>1632.9221113061551</v>
      </c>
      <c r="J32" s="84">
        <f t="shared" ca="1" si="33"/>
        <v>1933.6380765062183</v>
      </c>
      <c r="K32" s="84">
        <f t="shared" ca="1" si="33"/>
        <v>2108.8711005658356</v>
      </c>
      <c r="L32" s="84">
        <f t="shared" ca="1" si="33"/>
        <v>2278.7770052509104</v>
      </c>
      <c r="M32" s="84">
        <f t="shared" ca="1" si="33"/>
        <v>2635.2368321226654</v>
      </c>
      <c r="N32" s="84">
        <f t="shared" ca="1" si="33"/>
        <v>2781.7065259557421</v>
      </c>
      <c r="O32" s="84">
        <f t="shared" ca="1" si="33"/>
        <v>3169.8831836000204</v>
      </c>
      <c r="P32" s="84">
        <f t="shared" ca="1" si="33"/>
        <v>3321.9785219543264</v>
      </c>
      <c r="Q32" s="84">
        <f t="shared" ca="1" si="33"/>
        <v>3472.5644273915304</v>
      </c>
    </row>
    <row r="34" spans="2:21" x14ac:dyDescent="0.35">
      <c r="B34" t="s">
        <v>403</v>
      </c>
      <c r="C34" s="14">
        <f>'Historical FS'!C22</f>
        <v>141.31369050000001</v>
      </c>
      <c r="D34" s="14">
        <f>'Historical FS'!D22</f>
        <v>17.894291800000001</v>
      </c>
      <c r="E34" s="14">
        <f>'Historical FS'!E22</f>
        <v>4.6309265999999996</v>
      </c>
      <c r="F34" s="14">
        <f>'Historical FS'!F22</f>
        <v>3.7046974000000001</v>
      </c>
      <c r="G34" s="14">
        <f>'Historical FS'!G22</f>
        <v>0.92631289999999999</v>
      </c>
      <c r="H34" s="17">
        <f ca="1">H32*Assumptions!D26</f>
        <v>0</v>
      </c>
      <c r="I34" s="17">
        <f ca="1">I32*Assumptions!E26</f>
        <v>0</v>
      </c>
      <c r="J34" s="17">
        <f ca="1">J32*Assumptions!F26</f>
        <v>0</v>
      </c>
      <c r="K34" s="17">
        <f ca="1">K32*Assumptions!G26</f>
        <v>142.3487992881939</v>
      </c>
      <c r="L34" s="17">
        <f ca="1">L32*Assumptions!H26</f>
        <v>153.81744785443647</v>
      </c>
      <c r="M34" s="17">
        <f ca="1">M32*Assumptions!I26</f>
        <v>177.87848616827992</v>
      </c>
      <c r="N34" s="17">
        <f ca="1">N32*Assumptions!J26</f>
        <v>625.88396834004197</v>
      </c>
      <c r="O34" s="17">
        <f ca="1">O32*Assumptions!K26</f>
        <v>713.22371631000465</v>
      </c>
      <c r="P34" s="17">
        <f ca="1">P32*Assumptions!L26</f>
        <v>747.44516743972349</v>
      </c>
      <c r="Q34" s="17">
        <f ca="1">Q32*Assumptions!M26</f>
        <v>781.32699616309435</v>
      </c>
    </row>
    <row r="35" spans="2:21" ht="15" thickBot="1" x14ac:dyDescent="0.4">
      <c r="B35" s="85" t="s">
        <v>108</v>
      </c>
      <c r="C35" s="86">
        <f>C32-C34</f>
        <v>1639.2035710999999</v>
      </c>
      <c r="D35" s="86">
        <f t="shared" ref="D35:Q35" si="34">D32-D34</f>
        <v>1216.6150555999996</v>
      </c>
      <c r="E35" s="86">
        <f t="shared" si="34"/>
        <v>782.67792070000007</v>
      </c>
      <c r="F35" s="86">
        <f t="shared" si="34"/>
        <v>1356.5251326999989</v>
      </c>
      <c r="G35" s="86">
        <f t="shared" si="34"/>
        <v>1036.6160362000001</v>
      </c>
      <c r="H35" s="86">
        <f t="shared" ca="1" si="34"/>
        <v>1325.5341971551472</v>
      </c>
      <c r="I35" s="86">
        <f t="shared" ca="1" si="34"/>
        <v>1632.9221113061551</v>
      </c>
      <c r="J35" s="86">
        <f t="shared" ca="1" si="34"/>
        <v>1933.6380765062183</v>
      </c>
      <c r="K35" s="86">
        <f t="shared" ca="1" si="34"/>
        <v>1966.5223012776416</v>
      </c>
      <c r="L35" s="86">
        <f t="shared" ca="1" si="34"/>
        <v>2124.9595573964739</v>
      </c>
      <c r="M35" s="86">
        <f t="shared" ca="1" si="34"/>
        <v>2457.3583459543856</v>
      </c>
      <c r="N35" s="86">
        <f t="shared" ca="1" si="34"/>
        <v>2155.8225576157001</v>
      </c>
      <c r="O35" s="86">
        <f t="shared" ca="1" si="34"/>
        <v>2456.6594672900155</v>
      </c>
      <c r="P35" s="86">
        <f t="shared" ca="1" si="34"/>
        <v>2574.5333545146032</v>
      </c>
      <c r="Q35" s="86">
        <f t="shared" ca="1" si="34"/>
        <v>2691.237431228436</v>
      </c>
    </row>
    <row r="36" spans="2:21" ht="15" thickTop="1" x14ac:dyDescent="0.35">
      <c r="B36" s="129" t="s">
        <v>409</v>
      </c>
      <c r="C36" s="54">
        <f t="shared" ref="C36:Q36" si="35">C35/C6</f>
        <v>0.23433957249392229</v>
      </c>
      <c r="D36" s="54">
        <f t="shared" si="35"/>
        <v>0.14894588804678693</v>
      </c>
      <c r="E36" s="54">
        <f t="shared" si="35"/>
        <v>0.11791887189605228</v>
      </c>
      <c r="F36" s="54">
        <f t="shared" si="35"/>
        <v>0.18057831241202379</v>
      </c>
      <c r="G36" s="54">
        <f t="shared" si="35"/>
        <v>0.14636822928384674</v>
      </c>
      <c r="H36" s="54">
        <f t="shared" ca="1" si="35"/>
        <v>0.1765061393388126</v>
      </c>
      <c r="I36" s="54">
        <f t="shared" ca="1" si="35"/>
        <v>0.17938041712006897</v>
      </c>
      <c r="J36" s="54">
        <f t="shared" ca="1" si="35"/>
        <v>0.19780374250822932</v>
      </c>
      <c r="K36" s="54">
        <f t="shared" ca="1" si="35"/>
        <v>0.18832926416081464</v>
      </c>
      <c r="L36" s="54">
        <f t="shared" ca="1" si="35"/>
        <v>0.19194539307534625</v>
      </c>
      <c r="M36" s="54">
        <f t="shared" ca="1" si="35"/>
        <v>0.21172817839292543</v>
      </c>
      <c r="N36" s="54">
        <f t="shared" ca="1" si="35"/>
        <v>0.17759013411862221</v>
      </c>
      <c r="O36" s="54">
        <f t="shared" ca="1" si="35"/>
        <v>0.19385415905691955</v>
      </c>
      <c r="P36" s="54">
        <f t="shared" ca="1" si="35"/>
        <v>0.19551096125826281</v>
      </c>
      <c r="Q36" s="54">
        <f t="shared" ca="1" si="35"/>
        <v>0.19707044583231453</v>
      </c>
    </row>
    <row r="37" spans="2:21" x14ac:dyDescent="0.35">
      <c r="I37"/>
    </row>
    <row r="38" spans="2:21" x14ac:dyDescent="0.35">
      <c r="B38" s="2" t="s">
        <v>99</v>
      </c>
      <c r="C38" s="17">
        <f>'Historical FS'!C24</f>
        <v>30.292834299999999</v>
      </c>
      <c r="D38" s="17">
        <f>'Historical FS'!D24</f>
        <v>30.292834299999999</v>
      </c>
      <c r="E38" s="17">
        <f>'Historical FS'!E24</f>
        <v>30.292834299999999</v>
      </c>
      <c r="F38" s="17">
        <f>'Historical FS'!F24</f>
        <v>30.292834299999999</v>
      </c>
      <c r="G38" s="17">
        <f>'Historical FS'!G24</f>
        <v>30.292834299999999</v>
      </c>
      <c r="H38" s="17">
        <f>G38</f>
        <v>30.292834299999999</v>
      </c>
      <c r="I38" s="17">
        <f t="shared" ref="I38:Q38" si="36">H38</f>
        <v>30.292834299999999</v>
      </c>
      <c r="J38" s="17">
        <f t="shared" si="36"/>
        <v>30.292834299999999</v>
      </c>
      <c r="K38" s="17">
        <f t="shared" si="36"/>
        <v>30.292834299999999</v>
      </c>
      <c r="L38" s="17">
        <f t="shared" si="36"/>
        <v>30.292834299999999</v>
      </c>
      <c r="M38" s="17">
        <f t="shared" si="36"/>
        <v>30.292834299999999</v>
      </c>
      <c r="N38" s="17">
        <f t="shared" si="36"/>
        <v>30.292834299999999</v>
      </c>
      <c r="O38" s="17">
        <f t="shared" si="36"/>
        <v>30.292834299999999</v>
      </c>
      <c r="P38" s="17">
        <f t="shared" si="36"/>
        <v>30.292834299999999</v>
      </c>
      <c r="Q38" s="17">
        <f t="shared" si="36"/>
        <v>30.292834299999999</v>
      </c>
    </row>
    <row r="39" spans="2:21" x14ac:dyDescent="0.35">
      <c r="B39" t="s">
        <v>17</v>
      </c>
      <c r="C39" s="17">
        <f t="shared" ref="C39:Q39" si="37">C35/C38</f>
        <v>54.111924782819017</v>
      </c>
      <c r="D39" s="17">
        <f t="shared" si="37"/>
        <v>40.161810002704158</v>
      </c>
      <c r="E39" s="17">
        <f t="shared" si="37"/>
        <v>25.83706473117968</v>
      </c>
      <c r="F39" s="17">
        <f t="shared" si="37"/>
        <v>44.780396554045751</v>
      </c>
      <c r="G39" s="17">
        <f t="shared" si="37"/>
        <v>34.219843080183487</v>
      </c>
      <c r="H39" s="17">
        <f t="shared" ca="1" si="37"/>
        <v>43.75735145902631</v>
      </c>
      <c r="I39" s="17">
        <f t="shared" ca="1" si="37"/>
        <v>53.904566840289192</v>
      </c>
      <c r="J39" s="17">
        <f t="shared" ca="1" si="37"/>
        <v>63.831533799602845</v>
      </c>
      <c r="K39" s="17">
        <f t="shared" ca="1" si="37"/>
        <v>64.917078468211926</v>
      </c>
      <c r="L39" s="17">
        <f t="shared" ca="1" si="37"/>
        <v>70.147267711970883</v>
      </c>
      <c r="M39" s="17">
        <f t="shared" ca="1" si="37"/>
        <v>81.12011974905846</v>
      </c>
      <c r="N39" s="17">
        <f t="shared" ca="1" si="37"/>
        <v>71.166089520243418</v>
      </c>
      <c r="O39" s="17">
        <f t="shared" ca="1" si="37"/>
        <v>81.097048990559969</v>
      </c>
      <c r="P39" s="17">
        <f t="shared" ca="1" si="37"/>
        <v>84.988196515986061</v>
      </c>
      <c r="Q39" s="17">
        <f t="shared" ca="1" si="37"/>
        <v>88.840727301256067</v>
      </c>
      <c r="R39" s="14"/>
      <c r="S39" s="14"/>
      <c r="T39"/>
      <c r="U39"/>
    </row>
    <row r="40" spans="2:21" x14ac:dyDescent="0.35">
      <c r="B40" s="129" t="s">
        <v>110</v>
      </c>
      <c r="C40" s="10"/>
      <c r="D40" s="10">
        <f>(D39-C39)/C39</f>
        <v>-0.25780111936702232</v>
      </c>
      <c r="E40" s="10">
        <f t="shared" ref="E40:H40" si="38">(E39-D39)/D39</f>
        <v>-0.356675789028432</v>
      </c>
      <c r="F40" s="10">
        <f t="shared" si="38"/>
        <v>0.73318436207676552</v>
      </c>
      <c r="G40" s="10">
        <f t="shared" si="38"/>
        <v>-0.23582983373353256</v>
      </c>
      <c r="H40" s="10">
        <f t="shared" ca="1" si="38"/>
        <v>0.27871280287564903</v>
      </c>
      <c r="I40" s="10">
        <f t="shared" ref="I40" ca="1" si="39">(I39-H39)/H39</f>
        <v>0.23189738507744403</v>
      </c>
      <c r="J40" s="10">
        <f t="shared" ref="J40" ca="1" si="40">(J39-I39)/I39</f>
        <v>0.18415818067373965</v>
      </c>
      <c r="K40" s="10">
        <f t="shared" ref="K40:L40" ca="1" si="41">(K39-J39)/J39</f>
        <v>1.7006401131094796E-2</v>
      </c>
      <c r="L40" s="10">
        <f t="shared" ca="1" si="41"/>
        <v>8.0567230799211562E-2</v>
      </c>
      <c r="M40" s="10">
        <f t="shared" ref="M40" ca="1" si="42">(M39-L39)/L39</f>
        <v>0.15642593639060615</v>
      </c>
      <c r="N40" s="10">
        <f t="shared" ref="N40" ca="1" si="43">(N39-M39)/M39</f>
        <v>-0.12270729209482678</v>
      </c>
      <c r="O40" s="10">
        <f t="shared" ref="O40:P40" ca="1" si="44">(O39-N39)/N39</f>
        <v>0.13954622963359056</v>
      </c>
      <c r="P40" s="10">
        <f t="shared" ca="1" si="44"/>
        <v>4.7981370146761293E-2</v>
      </c>
      <c r="Q40" s="10">
        <f t="shared" ref="Q40" ca="1" si="45">(Q39-P39)/P39</f>
        <v>4.5330186345881034E-2</v>
      </c>
      <c r="R40" s="14"/>
      <c r="S40" s="14"/>
      <c r="T40"/>
      <c r="U40"/>
    </row>
    <row r="41" spans="2:21" x14ac:dyDescent="0.35">
      <c r="P41" s="17"/>
      <c r="Q41" s="17"/>
      <c r="R41" s="17"/>
      <c r="S41" s="17"/>
    </row>
    <row r="52" spans="2:3" x14ac:dyDescent="0.35">
      <c r="B52" s="9"/>
    </row>
    <row r="54" spans="2:3" x14ac:dyDescent="0.35">
      <c r="C54" s="17"/>
    </row>
    <row r="56" spans="2:3" x14ac:dyDescent="0.35">
      <c r="C56" s="17"/>
    </row>
    <row r="57" spans="2:3" x14ac:dyDescent="0.35">
      <c r="B57" s="9"/>
    </row>
    <row r="59" spans="2:3" x14ac:dyDescent="0.35">
      <c r="C59" s="17"/>
    </row>
    <row r="60" spans="2:3" x14ac:dyDescent="0.35">
      <c r="B60" s="9"/>
    </row>
    <row r="62" spans="2:3" x14ac:dyDescent="0.35">
      <c r="C62" s="17"/>
    </row>
  </sheetData>
  <mergeCells count="1">
    <mergeCell ref="B2:Q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7E7F-7994-4405-BDC5-2FE2583A590E}">
  <dimension ref="B2:Q69"/>
  <sheetViews>
    <sheetView showGridLines="0" zoomScaleNormal="100" workbookViewId="0">
      <selection activeCell="I16" sqref="I16"/>
    </sheetView>
  </sheetViews>
  <sheetFormatPr defaultColWidth="8.7265625" defaultRowHeight="14.5" x14ac:dyDescent="0.35"/>
  <cols>
    <col min="1" max="1" width="2.1796875" style="2" customWidth="1"/>
    <col min="2" max="2" width="41.26953125" style="2" customWidth="1"/>
    <col min="3" max="12" width="9.54296875" style="2" customWidth="1"/>
    <col min="13" max="13" width="8.7265625" style="2"/>
    <col min="14" max="14" width="9.81640625" style="2" customWidth="1"/>
    <col min="15" max="15" width="8.81640625" style="2" customWidth="1"/>
    <col min="16" max="16384" width="8.7265625" style="2"/>
  </cols>
  <sheetData>
    <row r="2" spans="2:17" ht="21" x14ac:dyDescent="0.5">
      <c r="B2" s="224" t="s">
        <v>199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</row>
    <row r="3" spans="2:17" x14ac:dyDescent="0.35">
      <c r="B3" s="72" t="s">
        <v>97</v>
      </c>
      <c r="C3" s="74">
        <v>2021</v>
      </c>
      <c r="D3" s="74">
        <v>2022</v>
      </c>
      <c r="E3" s="74">
        <v>2023</v>
      </c>
      <c r="F3" s="74">
        <v>2024</v>
      </c>
      <c r="G3" s="74">
        <v>2025</v>
      </c>
      <c r="H3" s="75">
        <v>2026</v>
      </c>
      <c r="I3" s="75">
        <v>2027</v>
      </c>
      <c r="J3" s="75">
        <v>2028</v>
      </c>
      <c r="K3" s="75">
        <v>2029</v>
      </c>
      <c r="L3" s="75">
        <v>2030</v>
      </c>
      <c r="M3" s="75">
        <v>2031</v>
      </c>
      <c r="N3" s="75">
        <v>2032</v>
      </c>
      <c r="O3" s="75">
        <v>2033</v>
      </c>
      <c r="P3" s="75">
        <v>2034</v>
      </c>
      <c r="Q3" s="75">
        <v>2035</v>
      </c>
    </row>
    <row r="4" spans="2:17" x14ac:dyDescent="0.35">
      <c r="G4" s="15"/>
      <c r="Q4" s="15" t="s">
        <v>113</v>
      </c>
    </row>
    <row r="5" spans="2:17" x14ac:dyDescent="0.35">
      <c r="B5" s="64" t="s">
        <v>18</v>
      </c>
      <c r="C5" s="65"/>
      <c r="D5" s="65"/>
      <c r="E5" s="65"/>
      <c r="F5" s="65"/>
      <c r="G5" s="65"/>
      <c r="H5" s="65"/>
      <c r="I5" s="64"/>
      <c r="J5" s="64"/>
      <c r="K5" s="65"/>
      <c r="L5" s="65"/>
      <c r="M5" s="65"/>
      <c r="N5" s="65"/>
      <c r="O5" s="65"/>
      <c r="P5" s="65"/>
      <c r="Q5" s="65"/>
    </row>
    <row r="6" spans="2:17" x14ac:dyDescent="0.35">
      <c r="B6" s="12" t="s">
        <v>136</v>
      </c>
    </row>
    <row r="7" spans="2:17" x14ac:dyDescent="0.35">
      <c r="B7" t="s">
        <v>346</v>
      </c>
      <c r="C7" s="17">
        <f>'Historical FS'!C33</f>
        <v>370.38256569999999</v>
      </c>
      <c r="D7" s="17">
        <f>'Historical FS'!D33</f>
        <v>232.13656280000001</v>
      </c>
      <c r="E7" s="17">
        <f>'Historical FS'!E33</f>
        <v>241.7232161</v>
      </c>
      <c r="F7" s="17">
        <f>'Historical FS'!F33</f>
        <v>654.73263499999996</v>
      </c>
      <c r="G7" s="17">
        <f>'Historical FS'!G33</f>
        <v>506.54569800000002</v>
      </c>
      <c r="H7" s="17">
        <f ca="1">G7+'Cash Flow Statement'!H35</f>
        <v>1039.470385732609</v>
      </c>
      <c r="I7" s="17">
        <f ca="1">H7+'Cash Flow Statement'!I35</f>
        <v>341.02841730395471</v>
      </c>
      <c r="J7" s="17">
        <f ca="1">I7+'Cash Flow Statement'!J35</f>
        <v>535.22304869417246</v>
      </c>
      <c r="K7" s="17">
        <f ca="1">J7+'Cash Flow Statement'!K35</f>
        <v>676.06352418767472</v>
      </c>
      <c r="L7" s="17">
        <f ca="1">K7+'Cash Flow Statement'!L35</f>
        <v>907.74635480760173</v>
      </c>
      <c r="M7" s="17">
        <f ca="1">L7+'Cash Flow Statement'!M35</f>
        <v>1420.3643642651173</v>
      </c>
      <c r="N7" s="17">
        <f ca="1">M7+'Cash Flow Statement'!N35</f>
        <v>1702.0611159859957</v>
      </c>
      <c r="O7" s="17">
        <f ca="1">N7+'Cash Flow Statement'!O35</f>
        <v>2259.6904905837455</v>
      </c>
      <c r="P7" s="17">
        <f ca="1">O7+'Cash Flow Statement'!P35</f>
        <v>2784.7621103689671</v>
      </c>
      <c r="Q7" s="17">
        <f ca="1">P7+'Cash Flow Statement'!Q35</f>
        <v>3368.0056753270128</v>
      </c>
    </row>
    <row r="8" spans="2:17" x14ac:dyDescent="0.35">
      <c r="B8" t="s">
        <v>478</v>
      </c>
      <c r="C8" s="17">
        <f>'Historical FS'!C34</f>
        <v>136.55492290000001</v>
      </c>
      <c r="D8" s="17">
        <f>'Historical FS'!D34</f>
        <v>27.821501000000001</v>
      </c>
      <c r="E8" s="17">
        <f>'Historical FS'!E34</f>
        <v>31.351301400000001</v>
      </c>
      <c r="F8" s="17">
        <f>'Historical FS'!F34</f>
        <v>30.585054</v>
      </c>
      <c r="G8" s="17">
        <f>'Historical FS'!G34</f>
        <v>29.732065899999998</v>
      </c>
      <c r="H8" s="17">
        <f>G8</f>
        <v>29.732065899999998</v>
      </c>
      <c r="I8" s="17">
        <f t="shared" ref="I8:Q8" si="0">H8</f>
        <v>29.732065899999998</v>
      </c>
      <c r="J8" s="17">
        <f t="shared" si="0"/>
        <v>29.732065899999998</v>
      </c>
      <c r="K8" s="17">
        <f t="shared" si="0"/>
        <v>29.732065899999998</v>
      </c>
      <c r="L8" s="17">
        <f t="shared" si="0"/>
        <v>29.732065899999998</v>
      </c>
      <c r="M8" s="17">
        <f t="shared" si="0"/>
        <v>29.732065899999998</v>
      </c>
      <c r="N8" s="17">
        <f t="shared" si="0"/>
        <v>29.732065899999998</v>
      </c>
      <c r="O8" s="17">
        <f t="shared" si="0"/>
        <v>29.732065899999998</v>
      </c>
      <c r="P8" s="17">
        <f t="shared" si="0"/>
        <v>29.732065899999998</v>
      </c>
      <c r="Q8" s="17">
        <f t="shared" si="0"/>
        <v>29.732065899999998</v>
      </c>
    </row>
    <row r="9" spans="2:17" x14ac:dyDescent="0.35">
      <c r="B9" t="s">
        <v>137</v>
      </c>
      <c r="C9" s="17">
        <f>'Historical FS'!C35</f>
        <v>3288.1935014999999</v>
      </c>
      <c r="D9" s="17">
        <f>'Historical FS'!D35</f>
        <v>4189.4178885000001</v>
      </c>
      <c r="E9" s="17">
        <f>'Historical FS'!E35</f>
        <v>3467.4948386000001</v>
      </c>
      <c r="F9" s="17">
        <f>'Historical FS'!F35</f>
        <v>3724.6629668999999</v>
      </c>
      <c r="G9" s="17">
        <f>'Historical FS'!G35</f>
        <v>3606.6239998999999</v>
      </c>
      <c r="H9" s="17">
        <f>G9-'Cash Flow Statement'!H10</f>
        <v>3703.4864604477466</v>
      </c>
      <c r="I9" s="17">
        <f>H9-'Cash Flow Statement'!I10</f>
        <v>4489.2116461710393</v>
      </c>
      <c r="J9" s="17">
        <f>I9-'Cash Flow Statement'!J10</f>
        <v>4820.8134474453173</v>
      </c>
      <c r="K9" s="17">
        <f>J9-'Cash Flow Statement'!K10</f>
        <v>5149.4483564702159</v>
      </c>
      <c r="L9" s="17">
        <f>K9-'Cash Flow Statement'!L10</f>
        <v>5459.4968099623529</v>
      </c>
      <c r="M9" s="17">
        <f>L9-'Cash Flow Statement'!M10</f>
        <v>5723.6025956857329</v>
      </c>
      <c r="N9" s="17">
        <f>M9-'Cash Flow Statement'!N10</f>
        <v>5986.5114475832434</v>
      </c>
      <c r="O9" s="17">
        <f>N9-'Cash Flow Statement'!O10</f>
        <v>6249.5605192655148</v>
      </c>
      <c r="P9" s="17">
        <f>O9-'Cash Flow Statement'!P10</f>
        <v>6493.9217677966808</v>
      </c>
      <c r="Q9" s="17">
        <f>P9-'Cash Flow Statement'!Q10</f>
        <v>6734.5744153484202</v>
      </c>
    </row>
    <row r="10" spans="2:17" x14ac:dyDescent="0.35">
      <c r="B10" t="s">
        <v>347</v>
      </c>
      <c r="C10" s="17">
        <f>'Historical FS'!C36</f>
        <v>2413.0561864000001</v>
      </c>
      <c r="D10" s="17">
        <f>'Historical FS'!D36</f>
        <v>3619.7619159000001</v>
      </c>
      <c r="E10" s="17">
        <f>'Historical FS'!E36</f>
        <v>2557.3533341000002</v>
      </c>
      <c r="F10" s="17">
        <f>'Historical FS'!F36</f>
        <v>2618.2663524999998</v>
      </c>
      <c r="G10" s="17">
        <f>'Historical FS'!G36</f>
        <v>2964.8739753</v>
      </c>
      <c r="H10" s="17">
        <f>G10-'Cash Flow Statement'!H11</f>
        <v>2633.5903718739532</v>
      </c>
      <c r="I10" s="17">
        <f>H10-'Cash Flow Statement'!I11</f>
        <v>3192.3282817216286</v>
      </c>
      <c r="J10" s="17">
        <f>I10-'Cash Flow Statement'!J11</f>
        <v>3374.5694132117223</v>
      </c>
      <c r="K10" s="17">
        <f>J10-'Cash Flow Statement'!K11</f>
        <v>3604.6138495291511</v>
      </c>
      <c r="L10" s="17">
        <f>K10-'Cash Flow Statement'!L11</f>
        <v>3821.6477669736469</v>
      </c>
      <c r="M10" s="17">
        <f>L10-'Cash Flow Statement'!M11</f>
        <v>3942.9262325835048</v>
      </c>
      <c r="N10" s="17">
        <f>M10-'Cash Flow Statement'!N11</f>
        <v>4124.0412194462342</v>
      </c>
      <c r="O10" s="17">
        <f>N10-'Cash Flow Statement'!O11</f>
        <v>4166.3736795103432</v>
      </c>
      <c r="P10" s="17">
        <f>O10-'Cash Flow Statement'!P11</f>
        <v>4329.2811785311205</v>
      </c>
      <c r="Q10" s="17">
        <f>P10-'Cash Flow Statement'!Q11</f>
        <v>4489.7162768989474</v>
      </c>
    </row>
    <row r="11" spans="2:17" x14ac:dyDescent="0.35">
      <c r="B11" t="s">
        <v>479</v>
      </c>
      <c r="C11" s="17">
        <f>'Historical FS'!C37</f>
        <v>500.89680720000001</v>
      </c>
      <c r="D11" s="17">
        <f>'Historical FS'!D37</f>
        <v>553.6502855</v>
      </c>
      <c r="E11" s="17">
        <f>'Historical FS'!E37</f>
        <v>551.76371140000003</v>
      </c>
      <c r="F11" s="17">
        <f>'Historical FS'!F37</f>
        <v>767.1704651</v>
      </c>
      <c r="G11" s="17">
        <f>'Historical FS'!G37</f>
        <v>148.61544739999999</v>
      </c>
      <c r="H11" s="17">
        <f>G11-'Cash Flow Statement'!H12</f>
        <v>370.34864604477468</v>
      </c>
      <c r="I11" s="17">
        <f>H11-'Cash Flow Statement'!I12</f>
        <v>437.6981355016764</v>
      </c>
      <c r="J11" s="17">
        <f>I11-'Cash Flow Statement'!J12</f>
        <v>457.97727750730519</v>
      </c>
      <c r="K11" s="17">
        <f>J11-'Cash Flow Statement'!K12</f>
        <v>480.61517993722015</v>
      </c>
      <c r="L11" s="17">
        <f>K11-'Cash Flow Statement'!L12</f>
        <v>500.45387424654905</v>
      </c>
      <c r="M11" s="17">
        <f>L11-'Cash Flow Statement'!M12</f>
        <v>476.96688297381115</v>
      </c>
      <c r="N11" s="17">
        <f>M11-'Cash Flow Statement'!N12</f>
        <v>498.87595396527024</v>
      </c>
      <c r="O11" s="17">
        <f>N11-'Cash Flow Statement'!O12</f>
        <v>520.7967099387929</v>
      </c>
      <c r="P11" s="17">
        <f>O11-'Cash Flow Statement'!P12</f>
        <v>541.16014731639018</v>
      </c>
      <c r="Q11" s="17">
        <f>P11-'Cash Flow Statement'!Q12</f>
        <v>561.21453461236842</v>
      </c>
    </row>
    <row r="12" spans="2:17" x14ac:dyDescent="0.35">
      <c r="B12" t="s">
        <v>138</v>
      </c>
      <c r="C12" s="17">
        <f>'Historical FS'!C38</f>
        <v>110.60228650000001</v>
      </c>
      <c r="D12" s="17">
        <f>'Historical FS'!D38</f>
        <v>118.6987977</v>
      </c>
      <c r="E12" s="17">
        <f>'Historical FS'!E38</f>
        <v>103.3741904</v>
      </c>
      <c r="F12" s="17">
        <f>'Historical FS'!F38</f>
        <v>77.828393199999994</v>
      </c>
      <c r="G12" s="17">
        <f>'Historical FS'!G38</f>
        <v>36.580020400000002</v>
      </c>
      <c r="H12" s="17">
        <f>G12</f>
        <v>36.580020400000002</v>
      </c>
      <c r="I12" s="17">
        <f t="shared" ref="I12:Q12" si="1">H12</f>
        <v>36.580020400000002</v>
      </c>
      <c r="J12" s="17">
        <f t="shared" si="1"/>
        <v>36.580020400000002</v>
      </c>
      <c r="K12" s="17">
        <f t="shared" si="1"/>
        <v>36.580020400000002</v>
      </c>
      <c r="L12" s="17">
        <f t="shared" si="1"/>
        <v>36.580020400000002</v>
      </c>
      <c r="M12" s="17">
        <f t="shared" si="1"/>
        <v>36.580020400000002</v>
      </c>
      <c r="N12" s="17">
        <f t="shared" si="1"/>
        <v>36.580020400000002</v>
      </c>
      <c r="O12" s="17">
        <f t="shared" si="1"/>
        <v>36.580020400000002</v>
      </c>
      <c r="P12" s="17">
        <f t="shared" si="1"/>
        <v>36.580020400000002</v>
      </c>
      <c r="Q12" s="17">
        <f t="shared" si="1"/>
        <v>36.580020400000002</v>
      </c>
    </row>
    <row r="13" spans="2:17" x14ac:dyDescent="0.35">
      <c r="B13" s="90" t="s">
        <v>139</v>
      </c>
      <c r="C13" s="155">
        <f>SUM(C7:C12)</f>
        <v>6819.6862701999999</v>
      </c>
      <c r="D13" s="155">
        <f t="shared" ref="D13:Q13" si="2">SUM(D7:D12)</f>
        <v>8741.4869514000002</v>
      </c>
      <c r="E13" s="155">
        <f t="shared" si="2"/>
        <v>6953.0605920000007</v>
      </c>
      <c r="F13" s="155">
        <f t="shared" si="2"/>
        <v>7873.2458667000001</v>
      </c>
      <c r="G13" s="155">
        <f>SUM(G7:G12)</f>
        <v>7292.9712068999988</v>
      </c>
      <c r="H13" s="155">
        <f t="shared" ca="1" si="2"/>
        <v>7813.2079503990835</v>
      </c>
      <c r="I13" s="155">
        <f t="shared" ca="1" si="2"/>
        <v>8526.5785669982997</v>
      </c>
      <c r="J13" s="155">
        <f t="shared" ca="1" si="2"/>
        <v>9254.8952731585177</v>
      </c>
      <c r="K13" s="155">
        <f t="shared" ca="1" si="2"/>
        <v>9977.0529964242633</v>
      </c>
      <c r="L13" s="155">
        <f t="shared" ca="1" si="2"/>
        <v>10755.65689229015</v>
      </c>
      <c r="M13" s="155">
        <f t="shared" ca="1" si="2"/>
        <v>11630.172161808166</v>
      </c>
      <c r="N13" s="155">
        <f t="shared" ca="1" si="2"/>
        <v>12377.801823280744</v>
      </c>
      <c r="O13" s="155">
        <f t="shared" ca="1" si="2"/>
        <v>13262.733485598397</v>
      </c>
      <c r="P13" s="155">
        <f t="shared" ca="1" si="2"/>
        <v>14215.437290313159</v>
      </c>
      <c r="Q13" s="155">
        <f t="shared" ca="1" si="2"/>
        <v>15219.822988486751</v>
      </c>
    </row>
    <row r="14" spans="2:17" x14ac:dyDescent="0.35">
      <c r="B14" s="12"/>
    </row>
    <row r="15" spans="2:17" x14ac:dyDescent="0.35">
      <c r="B15" s="12" t="s">
        <v>134</v>
      </c>
    </row>
    <row r="16" spans="2:17" x14ac:dyDescent="0.35">
      <c r="B16" t="s">
        <v>349</v>
      </c>
      <c r="C16" s="17">
        <f>'Historical FS'!C41</f>
        <v>6229.5280025000002</v>
      </c>
      <c r="D16" s="17">
        <f>'Historical FS'!D41</f>
        <v>6547.5136943999996</v>
      </c>
      <c r="E16" s="17">
        <f>'Historical FS'!E41</f>
        <v>6882.4874693000002</v>
      </c>
      <c r="F16" s="17">
        <f>'Historical FS'!F41</f>
        <v>7086.3873952000004</v>
      </c>
      <c r="G16" s="17">
        <f>'Historical FS'!G41</f>
        <v>7718.0420323999997</v>
      </c>
    </row>
    <row r="17" spans="2:17" x14ac:dyDescent="0.35">
      <c r="B17" t="s">
        <v>350</v>
      </c>
      <c r="C17" s="17">
        <f>'Historical FS'!C42</f>
        <v>0</v>
      </c>
      <c r="D17" s="17">
        <f>'Historical FS'!D42</f>
        <v>20.768599399999999</v>
      </c>
      <c r="E17" s="17">
        <f>'Historical FS'!E42</f>
        <v>21.313627</v>
      </c>
      <c r="F17" s="17">
        <f>'Historical FS'!F42</f>
        <v>20.186695499999999</v>
      </c>
      <c r="G17" s="17">
        <f>'Historical FS'!G42</f>
        <v>21.172201099999999</v>
      </c>
    </row>
    <row r="18" spans="2:17" x14ac:dyDescent="0.35">
      <c r="B18" t="s">
        <v>135</v>
      </c>
      <c r="C18" s="17">
        <f>'Historical FS'!C43</f>
        <v>1.3362588</v>
      </c>
      <c r="D18" s="17">
        <f>'Historical FS'!D43</f>
        <v>1.305385</v>
      </c>
      <c r="E18" s="17">
        <f>'Historical FS'!E43</f>
        <v>1.9217454</v>
      </c>
      <c r="F18" s="17">
        <f>'Historical FS'!F43</f>
        <v>1.6019226</v>
      </c>
      <c r="G18" s="17">
        <f>'Historical FS'!G43</f>
        <v>4.6082638999999999</v>
      </c>
    </row>
    <row r="19" spans="2:17" x14ac:dyDescent="0.35">
      <c r="B19" s="12" t="s">
        <v>488</v>
      </c>
      <c r="C19" s="38">
        <f>SUM(C16:C18)</f>
        <v>6230.8642613000002</v>
      </c>
      <c r="D19" s="38">
        <f t="shared" ref="D19:G19" si="3">SUM(D16:D18)</f>
        <v>6569.5876787999996</v>
      </c>
      <c r="E19" s="38">
        <f t="shared" si="3"/>
        <v>6905.7228417000006</v>
      </c>
      <c r="F19" s="38">
        <f t="shared" si="3"/>
        <v>7108.1760132999998</v>
      </c>
      <c r="G19" s="38">
        <f t="shared" si="3"/>
        <v>7743.8224973999995</v>
      </c>
      <c r="H19" s="38">
        <f>'Depreciation Schedule'!D11</f>
        <v>8198.2319847067174</v>
      </c>
      <c r="I19" s="38">
        <f>'Depreciation Schedule'!E11</f>
        <v>8649.5824446045972</v>
      </c>
      <c r="J19" s="38">
        <f>'Depreciation Schedule'!F11</f>
        <v>9139.2434803890901</v>
      </c>
      <c r="K19" s="38">
        <f>'Depreciation Schedule'!G11</f>
        <v>9665.5073244237374</v>
      </c>
      <c r="L19" s="38">
        <f>'Depreciation Schedule'!H11</f>
        <v>10224.231436326478</v>
      </c>
      <c r="M19" s="38">
        <f>'Depreciation Schedule'!I11</f>
        <v>10807.046114512594</v>
      </c>
      <c r="N19" s="38">
        <f>'Depreciation Schedule'!J11</f>
        <v>11412.984071490853</v>
      </c>
      <c r="O19" s="38">
        <f>'Depreciation Schedule'!K11</f>
        <v>12041.322344937875</v>
      </c>
      <c r="P19" s="38">
        <f>'Depreciation Schedule'!L11</f>
        <v>12688.360013485828</v>
      </c>
      <c r="Q19" s="38">
        <f>'Depreciation Schedule'!M11</f>
        <v>13352.903189588029</v>
      </c>
    </row>
    <row r="20" spans="2:17" x14ac:dyDescent="0.35">
      <c r="B20" t="s">
        <v>480</v>
      </c>
      <c r="C20" s="17">
        <f>'Historical FS'!C44</f>
        <v>394.38023320000002</v>
      </c>
      <c r="D20" s="17">
        <f>'Historical FS'!D44</f>
        <v>644.61876580000001</v>
      </c>
      <c r="E20" s="17">
        <f>'Historical FS'!E44</f>
        <v>735.17362500000002</v>
      </c>
      <c r="F20" s="17">
        <f>'Historical FS'!F44</f>
        <v>743.79645749999997</v>
      </c>
      <c r="G20" s="17">
        <f>'Historical FS'!G44</f>
        <v>724.75993370000003</v>
      </c>
      <c r="H20" s="17">
        <f>G20-'Cash Flow Statement'!H23-'Cash Flow Statement'!H15</f>
        <v>724.75993370000003</v>
      </c>
      <c r="I20" s="17">
        <f>H20-'Cash Flow Statement'!I23-'Cash Flow Statement'!I15</f>
        <v>724.75993370000003</v>
      </c>
      <c r="J20" s="17">
        <f>I20-'Cash Flow Statement'!J23-'Cash Flow Statement'!J15</f>
        <v>724.75993370000003</v>
      </c>
      <c r="K20" s="17">
        <f>J20-'Cash Flow Statement'!K23-'Cash Flow Statement'!K15</f>
        <v>724.75993370000003</v>
      </c>
      <c r="L20" s="17">
        <f>K20-'Cash Flow Statement'!L23-'Cash Flow Statement'!L15</f>
        <v>724.75993370000003</v>
      </c>
      <c r="M20" s="17">
        <f>L20-'Cash Flow Statement'!M23-'Cash Flow Statement'!M15</f>
        <v>724.75993370000003</v>
      </c>
      <c r="N20" s="17">
        <f>M20-'Cash Flow Statement'!N23-'Cash Flow Statement'!N15</f>
        <v>724.75993370000003</v>
      </c>
      <c r="O20" s="17">
        <f>N20-'Cash Flow Statement'!O23-'Cash Flow Statement'!O15</f>
        <v>724.75993370000003</v>
      </c>
      <c r="P20" s="17">
        <f>O20-'Cash Flow Statement'!P23-'Cash Flow Statement'!P15</f>
        <v>724.75993370000003</v>
      </c>
      <c r="Q20" s="17">
        <f>P20-'Cash Flow Statement'!Q23-'Cash Flow Statement'!Q15</f>
        <v>724.75993370000003</v>
      </c>
    </row>
    <row r="21" spans="2:17" x14ac:dyDescent="0.35">
      <c r="B21" s="90" t="s">
        <v>481</v>
      </c>
      <c r="C21" s="155">
        <f>SUM(C19:C20)</f>
        <v>6625.2444945000007</v>
      </c>
      <c r="D21" s="155">
        <f t="shared" ref="D21:Q21" si="4">SUM(D19:D20)</f>
        <v>7214.2064445999995</v>
      </c>
      <c r="E21" s="155">
        <f t="shared" si="4"/>
        <v>7640.8964667000009</v>
      </c>
      <c r="F21" s="155">
        <f t="shared" si="4"/>
        <v>7851.9724707999994</v>
      </c>
      <c r="G21" s="155">
        <f t="shared" si="4"/>
        <v>8468.5824310999997</v>
      </c>
      <c r="H21" s="155">
        <f t="shared" si="4"/>
        <v>8922.9919184067166</v>
      </c>
      <c r="I21" s="155">
        <f t="shared" si="4"/>
        <v>9374.3423783045964</v>
      </c>
      <c r="J21" s="155">
        <f t="shared" si="4"/>
        <v>9864.0034140890893</v>
      </c>
      <c r="K21" s="155">
        <f t="shared" si="4"/>
        <v>10390.267258123737</v>
      </c>
      <c r="L21" s="155">
        <f t="shared" si="4"/>
        <v>10948.991370026477</v>
      </c>
      <c r="M21" s="155">
        <f t="shared" si="4"/>
        <v>11531.806048212593</v>
      </c>
      <c r="N21" s="155">
        <f t="shared" si="4"/>
        <v>12137.744005190852</v>
      </c>
      <c r="O21" s="155">
        <f t="shared" si="4"/>
        <v>12766.082278637874</v>
      </c>
      <c r="P21" s="155">
        <f t="shared" si="4"/>
        <v>13413.119947185827</v>
      </c>
      <c r="Q21" s="155">
        <f t="shared" si="4"/>
        <v>14077.663123288028</v>
      </c>
    </row>
    <row r="22" spans="2:17" x14ac:dyDescent="0.35">
      <c r="B22" s="12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</row>
    <row r="23" spans="2:17" ht="15" thickBot="1" x14ac:dyDescent="0.4">
      <c r="B23" s="85" t="s">
        <v>178</v>
      </c>
      <c r="C23" s="51">
        <f>C13+C21</f>
        <v>13444.930764700001</v>
      </c>
      <c r="D23" s="51">
        <f t="shared" ref="D23:Q23" si="5">D13+D21</f>
        <v>15955.693395999999</v>
      </c>
      <c r="E23" s="51">
        <f t="shared" si="5"/>
        <v>14593.957058700002</v>
      </c>
      <c r="F23" s="51">
        <f t="shared" si="5"/>
        <v>15725.218337499999</v>
      </c>
      <c r="G23" s="51">
        <f t="shared" si="5"/>
        <v>15761.553637999998</v>
      </c>
      <c r="H23" s="51">
        <f t="shared" ca="1" si="5"/>
        <v>16736.199868805801</v>
      </c>
      <c r="I23" s="51">
        <f t="shared" ca="1" si="5"/>
        <v>17900.920945302896</v>
      </c>
      <c r="J23" s="51">
        <f t="shared" ca="1" si="5"/>
        <v>19118.898687247609</v>
      </c>
      <c r="K23" s="51">
        <f t="shared" ca="1" si="5"/>
        <v>20367.320254548002</v>
      </c>
      <c r="L23" s="51">
        <f t="shared" ca="1" si="5"/>
        <v>21704.648262316627</v>
      </c>
      <c r="M23" s="51">
        <f t="shared" ca="1" si="5"/>
        <v>23161.978210020759</v>
      </c>
      <c r="N23" s="51">
        <f t="shared" ca="1" si="5"/>
        <v>24515.545828471597</v>
      </c>
      <c r="O23" s="51">
        <f t="shared" ca="1" si="5"/>
        <v>26028.815764236271</v>
      </c>
      <c r="P23" s="51">
        <f t="shared" ca="1" si="5"/>
        <v>27628.557237498986</v>
      </c>
      <c r="Q23" s="51">
        <f t="shared" ca="1" si="5"/>
        <v>29297.486111774779</v>
      </c>
    </row>
    <row r="24" spans="2:17" ht="15" thickTop="1" x14ac:dyDescent="0.35">
      <c r="B24" s="12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</row>
    <row r="25" spans="2:17" x14ac:dyDescent="0.35">
      <c r="B25" s="12" t="s">
        <v>143</v>
      </c>
    </row>
    <row r="26" spans="2:17" x14ac:dyDescent="0.35">
      <c r="B26" t="s">
        <v>344</v>
      </c>
      <c r="C26" s="17">
        <f>'Historical FS'!C48</f>
        <v>292.33228459999998</v>
      </c>
      <c r="D26" s="17">
        <f>'Historical FS'!D48</f>
        <v>458.14572099999998</v>
      </c>
      <c r="E26" s="17">
        <f>'Historical FS'!E48</f>
        <v>305.80096900000001</v>
      </c>
      <c r="F26" s="17">
        <f>'Historical FS'!F48</f>
        <v>363.01135540000001</v>
      </c>
      <c r="G26" s="17">
        <f>'Historical FS'!G48</f>
        <v>240.30518040000001</v>
      </c>
      <c r="H26" s="17">
        <f>G26+'Cash Flow Statement'!H13</f>
        <v>395.03855578109295</v>
      </c>
      <c r="I26" s="17">
        <f>H26+'Cash Flow Statement'!I13</f>
        <v>478.84924225824426</v>
      </c>
      <c r="J26" s="17">
        <f>I26+'Cash Flow Statement'!J13</f>
        <v>506.18541198175836</v>
      </c>
      <c r="K26" s="17">
        <f>J26+'Cash Flow Statement'!K13</f>
        <v>540.69207742937272</v>
      </c>
      <c r="L26" s="17">
        <f>K26+'Cash Flow Statement'!L13</f>
        <v>573.24716504604703</v>
      </c>
      <c r="M26" s="17">
        <f>L26+'Cash Flow Statement'!M13</f>
        <v>591.43893488752576</v>
      </c>
      <c r="N26" s="17">
        <f>M26+'Cash Flow Statement'!N13</f>
        <v>618.60618291693515</v>
      </c>
      <c r="O26" s="17">
        <f>N26+'Cash Flow Statement'!O13</f>
        <v>624.95605192655148</v>
      </c>
      <c r="P26" s="17">
        <f>O26+'Cash Flow Statement'!P13</f>
        <v>649.39217677966803</v>
      </c>
      <c r="Q26" s="17">
        <f>P26+'Cash Flow Statement'!Q13</f>
        <v>673.45744153484202</v>
      </c>
    </row>
    <row r="27" spans="2:17" x14ac:dyDescent="0.35">
      <c r="B27" t="s">
        <v>345</v>
      </c>
      <c r="C27" s="17">
        <f>'Historical FS'!C49</f>
        <v>704.55801299999996</v>
      </c>
      <c r="D27" s="17">
        <f>'Historical FS'!D49</f>
        <v>626.12201140000002</v>
      </c>
      <c r="E27" s="17">
        <f>'Historical FS'!E49</f>
        <v>652.17448720000004</v>
      </c>
      <c r="F27" s="17">
        <f>'Historical FS'!F49</f>
        <v>790.42641619999995</v>
      </c>
      <c r="G27" s="17">
        <f>'Historical FS'!G49</f>
        <v>531.66137660000004</v>
      </c>
      <c r="H27" s="17">
        <f>G27+'Cash Flow Statement'!H14</f>
        <v>556.25371373162193</v>
      </c>
      <c r="I27" s="17">
        <f>H27+'Cash Flow Statement'!I14</f>
        <v>657.41083696787382</v>
      </c>
      <c r="J27" s="17">
        <f>I27+'Cash Flow Statement'!J14</f>
        <v>687.86956328533995</v>
      </c>
      <c r="K27" s="17">
        <f>J27+'Cash Flow Statement'!K14</f>
        <v>721.87108437153267</v>
      </c>
      <c r="L27" s="17">
        <f>K27+'Cash Flow Statement'!L14</f>
        <v>751.66827008560279</v>
      </c>
      <c r="M27" s="17">
        <f>L27+'Cash Flow Statement'!M14</f>
        <v>716.39144037562426</v>
      </c>
      <c r="N27" s="17">
        <f>M27+'Cash Flow Statement'!N14</f>
        <v>749.29827622763241</v>
      </c>
      <c r="O27" s="17">
        <f>N27+'Cash Flow Statement'!O14</f>
        <v>782.22266260868162</v>
      </c>
      <c r="P27" s="17">
        <f>O27+'Cash Flow Statement'!P14</f>
        <v>812.80799830951833</v>
      </c>
      <c r="Q27" s="17">
        <f>P27+'Cash Flow Statement'!Q14</f>
        <v>842.92914909307353</v>
      </c>
    </row>
    <row r="28" spans="2:17" x14ac:dyDescent="0.35">
      <c r="B28" t="s">
        <v>482</v>
      </c>
      <c r="C28" s="17">
        <f>'Historical FS'!C50</f>
        <v>2387.9414713000001</v>
      </c>
      <c r="D28" s="17">
        <f>'Historical FS'!D50</f>
        <v>4265.9073515999999</v>
      </c>
      <c r="E28" s="17">
        <f>'Historical FS'!E50</f>
        <v>2409.6051505999999</v>
      </c>
      <c r="F28" s="17">
        <f>'Historical FS'!F50</f>
        <v>2124.3601979</v>
      </c>
      <c r="G28" s="17">
        <f>'Historical FS'!G50</f>
        <v>1788.3976955999999</v>
      </c>
      <c r="H28" s="17">
        <f ca="1">'Debt Schedule'!D15</f>
        <v>1788.3976955999999</v>
      </c>
      <c r="I28" s="17">
        <f ca="1">'Debt Schedule'!E15</f>
        <v>1788.3976955999999</v>
      </c>
      <c r="J28" s="17">
        <f ca="1">'Debt Schedule'!F15</f>
        <v>1788.3976955999999</v>
      </c>
      <c r="K28" s="17">
        <f ca="1">'Debt Schedule'!G15</f>
        <v>1788.3976955999999</v>
      </c>
      <c r="L28" s="17">
        <f ca="1">'Debt Schedule'!H15</f>
        <v>1788.3976955999999</v>
      </c>
      <c r="M28" s="17">
        <f ca="1">'Debt Schedule'!I15</f>
        <v>1788.3976955999999</v>
      </c>
      <c r="N28" s="17">
        <f ca="1">'Debt Schedule'!J15</f>
        <v>1788.3976955999999</v>
      </c>
      <c r="O28" s="17">
        <f ca="1">'Debt Schedule'!K15</f>
        <v>1788.3976955999999</v>
      </c>
      <c r="P28" s="17">
        <f ca="1">'Debt Schedule'!L15</f>
        <v>1788.3976955999999</v>
      </c>
      <c r="Q28" s="17">
        <f ca="1">'Debt Schedule'!M15</f>
        <v>1788.3976955999999</v>
      </c>
    </row>
    <row r="29" spans="2:17" x14ac:dyDescent="0.35">
      <c r="B29" t="s">
        <v>351</v>
      </c>
      <c r="C29" s="17">
        <f>'Historical FS'!C51</f>
        <v>235.25440829999999</v>
      </c>
      <c r="D29" s="17">
        <f>'Historical FS'!D51</f>
        <v>133.12940739999999</v>
      </c>
      <c r="E29" s="17">
        <f>'Historical FS'!E51</f>
        <v>169.59513630000001</v>
      </c>
      <c r="F29" s="17">
        <f>'Historical FS'!F51</f>
        <v>251.32621159999999</v>
      </c>
      <c r="G29" s="17">
        <f>'Historical FS'!G51</f>
        <v>294.82175649999999</v>
      </c>
      <c r="H29" s="17">
        <f>G29</f>
        <v>294.82175649999999</v>
      </c>
      <c r="I29" s="17">
        <f t="shared" ref="I29:Q29" si="6">H29</f>
        <v>294.82175649999999</v>
      </c>
      <c r="J29" s="17">
        <f t="shared" si="6"/>
        <v>294.82175649999999</v>
      </c>
      <c r="K29" s="17">
        <f t="shared" si="6"/>
        <v>294.82175649999999</v>
      </c>
      <c r="L29" s="17">
        <f t="shared" si="6"/>
        <v>294.82175649999999</v>
      </c>
      <c r="M29" s="17">
        <f t="shared" si="6"/>
        <v>294.82175649999999</v>
      </c>
      <c r="N29" s="17">
        <f t="shared" si="6"/>
        <v>294.82175649999999</v>
      </c>
      <c r="O29" s="17">
        <f t="shared" si="6"/>
        <v>294.82175649999999</v>
      </c>
      <c r="P29" s="17">
        <f t="shared" si="6"/>
        <v>294.82175649999999</v>
      </c>
      <c r="Q29" s="17">
        <f t="shared" si="6"/>
        <v>294.82175649999999</v>
      </c>
    </row>
    <row r="30" spans="2:17" x14ac:dyDescent="0.35">
      <c r="B30" t="s">
        <v>483</v>
      </c>
      <c r="C30" s="17">
        <f>'Historical FS'!C52</f>
        <v>0</v>
      </c>
      <c r="D30" s="17">
        <f>'Historical FS'!D52</f>
        <v>2.8394840000000001</v>
      </c>
      <c r="E30" s="17">
        <f>'Historical FS'!E52</f>
        <v>3.5666642</v>
      </c>
      <c r="F30" s="17">
        <f>'Historical FS'!F52</f>
        <v>4.1207818999999999</v>
      </c>
      <c r="G30" s="17">
        <f>'Historical FS'!G52</f>
        <v>3.9624404000000002</v>
      </c>
      <c r="H30" s="17">
        <f>G30</f>
        <v>3.9624404000000002</v>
      </c>
      <c r="I30" s="17">
        <f t="shared" ref="I30:Q30" si="7">H30</f>
        <v>3.9624404000000002</v>
      </c>
      <c r="J30" s="17">
        <f t="shared" si="7"/>
        <v>3.9624404000000002</v>
      </c>
      <c r="K30" s="17">
        <f t="shared" si="7"/>
        <v>3.9624404000000002</v>
      </c>
      <c r="L30" s="17">
        <f t="shared" si="7"/>
        <v>3.9624404000000002</v>
      </c>
      <c r="M30" s="17">
        <f t="shared" si="7"/>
        <v>3.9624404000000002</v>
      </c>
      <c r="N30" s="17">
        <f t="shared" si="7"/>
        <v>3.9624404000000002</v>
      </c>
      <c r="O30" s="17">
        <f t="shared" si="7"/>
        <v>3.9624404000000002</v>
      </c>
      <c r="P30" s="17">
        <f t="shared" si="7"/>
        <v>3.9624404000000002</v>
      </c>
      <c r="Q30" s="17">
        <f t="shared" si="7"/>
        <v>3.9624404000000002</v>
      </c>
    </row>
    <row r="31" spans="2:17" x14ac:dyDescent="0.35">
      <c r="B31" t="s">
        <v>47</v>
      </c>
      <c r="C31" s="17">
        <f>'Historical FS'!C53</f>
        <v>0.1547499</v>
      </c>
      <c r="D31" s="17">
        <f>'Historical FS'!D53</f>
        <v>0.28407769999999999</v>
      </c>
      <c r="E31" s="17">
        <f>'Historical FS'!E53</f>
        <v>0.37784780000000001</v>
      </c>
      <c r="F31" s="17">
        <f>'Historical FS'!F53</f>
        <v>0.57527830000000002</v>
      </c>
      <c r="G31" s="17">
        <f>'Historical FS'!G53</f>
        <v>0.74812529999999999</v>
      </c>
      <c r="H31" s="17">
        <f>G31</f>
        <v>0.74812529999999999</v>
      </c>
      <c r="I31" s="17">
        <f t="shared" ref="I31:Q31" si="8">H31</f>
        <v>0.74812529999999999</v>
      </c>
      <c r="J31" s="17">
        <f t="shared" si="8"/>
        <v>0.74812529999999999</v>
      </c>
      <c r="K31" s="17">
        <f t="shared" si="8"/>
        <v>0.74812529999999999</v>
      </c>
      <c r="L31" s="17">
        <f t="shared" si="8"/>
        <v>0.74812529999999999</v>
      </c>
      <c r="M31" s="17">
        <f t="shared" si="8"/>
        <v>0.74812529999999999</v>
      </c>
      <c r="N31" s="17">
        <f t="shared" si="8"/>
        <v>0.74812529999999999</v>
      </c>
      <c r="O31" s="17">
        <f t="shared" si="8"/>
        <v>0.74812529999999999</v>
      </c>
      <c r="P31" s="17">
        <f t="shared" si="8"/>
        <v>0.74812529999999999</v>
      </c>
      <c r="Q31" s="17">
        <f t="shared" si="8"/>
        <v>0.74812529999999999</v>
      </c>
    </row>
    <row r="32" spans="2:17" x14ac:dyDescent="0.35">
      <c r="B32" s="90" t="s">
        <v>144</v>
      </c>
      <c r="C32" s="155">
        <f>SUM(C26:C31)</f>
        <v>3620.2409270999997</v>
      </c>
      <c r="D32" s="155">
        <f t="shared" ref="D32:Q32" si="9">SUM(D26:D31)</f>
        <v>5486.4280531000004</v>
      </c>
      <c r="E32" s="155">
        <f t="shared" si="9"/>
        <v>3541.1202551000001</v>
      </c>
      <c r="F32" s="155">
        <f t="shared" si="9"/>
        <v>3533.8202412999999</v>
      </c>
      <c r="G32" s="155">
        <f t="shared" si="9"/>
        <v>2859.8965748000001</v>
      </c>
      <c r="H32" s="155">
        <f t="shared" ca="1" si="9"/>
        <v>3039.2222873127153</v>
      </c>
      <c r="I32" s="155">
        <f t="shared" ca="1" si="9"/>
        <v>3224.1900970261181</v>
      </c>
      <c r="J32" s="155">
        <f t="shared" ca="1" si="9"/>
        <v>3281.9849930670985</v>
      </c>
      <c r="K32" s="155">
        <f t="shared" ca="1" si="9"/>
        <v>3350.4931796009055</v>
      </c>
      <c r="L32" s="155">
        <f t="shared" ca="1" si="9"/>
        <v>3412.84545293165</v>
      </c>
      <c r="M32" s="155">
        <f t="shared" ca="1" si="9"/>
        <v>3395.7603930631499</v>
      </c>
      <c r="N32" s="155">
        <f t="shared" ca="1" si="9"/>
        <v>3455.834476944568</v>
      </c>
      <c r="O32" s="155">
        <f t="shared" ca="1" si="9"/>
        <v>3495.1087323352335</v>
      </c>
      <c r="P32" s="155">
        <f t="shared" ca="1" si="9"/>
        <v>3550.1301928891867</v>
      </c>
      <c r="Q32" s="155">
        <f t="shared" ca="1" si="9"/>
        <v>3604.316608427916</v>
      </c>
    </row>
    <row r="33" spans="2:17" x14ac:dyDescent="0.35">
      <c r="B33" s="12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</row>
    <row r="34" spans="2:17" x14ac:dyDescent="0.35">
      <c r="B34" s="12" t="s">
        <v>141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</row>
    <row r="35" spans="2:17" x14ac:dyDescent="0.35">
      <c r="B35" t="s">
        <v>484</v>
      </c>
      <c r="C35" s="17">
        <f>'Historical FS'!C56</f>
        <v>341.39273120000001</v>
      </c>
      <c r="D35" s="17">
        <f>'Historical FS'!D56</f>
        <v>258.40658830000001</v>
      </c>
      <c r="E35" s="17">
        <f>'Historical FS'!E56</f>
        <v>514.43275659999995</v>
      </c>
      <c r="F35" s="17">
        <f>'Historical FS'!F56</f>
        <v>578.4668868</v>
      </c>
      <c r="G35" s="17">
        <f>'Historical FS'!G56</f>
        <v>562.55482210000002</v>
      </c>
      <c r="H35" s="17">
        <f>'Debt Schedule'!D23-'Balance Sheet'!H29</f>
        <v>562.55482210000002</v>
      </c>
      <c r="I35" s="17">
        <f>'Debt Schedule'!E23-'Balance Sheet'!I29</f>
        <v>562.55482210000002</v>
      </c>
      <c r="J35" s="17">
        <f>'Debt Schedule'!F23-'Balance Sheet'!J29</f>
        <v>562.55482210000002</v>
      </c>
      <c r="K35" s="17">
        <f>'Debt Schedule'!G23-'Balance Sheet'!K29</f>
        <v>562.55482210000002</v>
      </c>
      <c r="L35" s="17">
        <f>'Debt Schedule'!H23-'Balance Sheet'!L29</f>
        <v>562.55482210000002</v>
      </c>
      <c r="M35" s="17">
        <f>'Debt Schedule'!I23-'Balance Sheet'!M29</f>
        <v>562.55482210000002</v>
      </c>
      <c r="N35" s="17">
        <f>'Debt Schedule'!J23-'Balance Sheet'!N29</f>
        <v>562.55482210000002</v>
      </c>
      <c r="O35" s="17">
        <f>'Debt Schedule'!K23-'Balance Sheet'!O29</f>
        <v>562.55482210000002</v>
      </c>
      <c r="P35" s="17">
        <f>'Debt Schedule'!L23-'Balance Sheet'!P29</f>
        <v>562.55482210000002</v>
      </c>
      <c r="Q35" s="17">
        <f>'Debt Schedule'!M23-'Balance Sheet'!Q29</f>
        <v>562.55482210000002</v>
      </c>
    </row>
    <row r="36" spans="2:17" x14ac:dyDescent="0.35">
      <c r="B36" t="s">
        <v>352</v>
      </c>
      <c r="C36" s="17">
        <f>'Historical FS'!C57</f>
        <v>0</v>
      </c>
      <c r="D36" s="17">
        <f>'Historical FS'!D57</f>
        <v>18.9487463</v>
      </c>
      <c r="E36" s="17">
        <f>'Historical FS'!E57</f>
        <v>19.612007699999999</v>
      </c>
      <c r="F36" s="17">
        <f>'Historical FS'!F57</f>
        <v>18.695770899999999</v>
      </c>
      <c r="G36" s="17">
        <f>'Historical FS'!G57</f>
        <v>19.946937200000001</v>
      </c>
      <c r="H36" s="17">
        <f>'Debt Schedule'!D28-'Balance Sheet'!H30</f>
        <v>19.946937200000001</v>
      </c>
      <c r="I36" s="17">
        <f>'Debt Schedule'!E28-'Balance Sheet'!I30</f>
        <v>19.946937200000001</v>
      </c>
      <c r="J36" s="17">
        <f>'Debt Schedule'!F28-'Balance Sheet'!J30</f>
        <v>19.946937200000001</v>
      </c>
      <c r="K36" s="17">
        <f>'Debt Schedule'!G28-'Balance Sheet'!K30</f>
        <v>19.946937200000001</v>
      </c>
      <c r="L36" s="17">
        <f>'Debt Schedule'!H28-'Balance Sheet'!L30</f>
        <v>19.946937200000001</v>
      </c>
      <c r="M36" s="17">
        <f>'Debt Schedule'!I28-'Balance Sheet'!M30</f>
        <v>19.946937200000001</v>
      </c>
      <c r="N36" s="17">
        <f>'Debt Schedule'!J28-'Balance Sheet'!N30</f>
        <v>19.946937200000001</v>
      </c>
      <c r="O36" s="17">
        <f>'Debt Schedule'!K28-'Balance Sheet'!O30</f>
        <v>19.946937200000001</v>
      </c>
      <c r="P36" s="17">
        <f>'Debt Schedule'!L28-'Balance Sheet'!P30</f>
        <v>19.946937200000001</v>
      </c>
      <c r="Q36" s="17">
        <f>'Debt Schedule'!M28-'Balance Sheet'!Q30</f>
        <v>19.946937200000001</v>
      </c>
    </row>
    <row r="37" spans="2:17" x14ac:dyDescent="0.35">
      <c r="B37" t="s">
        <v>39</v>
      </c>
      <c r="C37" s="17">
        <f>'Historical FS'!C58</f>
        <v>36.546214399999997</v>
      </c>
      <c r="D37" s="17">
        <f>'Historical FS'!D58</f>
        <v>47.768312899999998</v>
      </c>
      <c r="E37" s="17">
        <f>'Historical FS'!E58</f>
        <v>98.945058000000003</v>
      </c>
      <c r="F37" s="17">
        <f>'Historical FS'!F58</f>
        <v>96.714629500000001</v>
      </c>
      <c r="G37" s="17">
        <f>'Historical FS'!G58</f>
        <v>201.94047370000001</v>
      </c>
      <c r="H37" s="17">
        <f>G37</f>
        <v>201.94047370000001</v>
      </c>
      <c r="I37" s="17">
        <f t="shared" ref="I37:Q37" si="10">H37</f>
        <v>201.94047370000001</v>
      </c>
      <c r="J37" s="17">
        <f t="shared" si="10"/>
        <v>201.94047370000001</v>
      </c>
      <c r="K37" s="17">
        <f t="shared" si="10"/>
        <v>201.94047370000001</v>
      </c>
      <c r="L37" s="17">
        <f t="shared" si="10"/>
        <v>201.94047370000001</v>
      </c>
      <c r="M37" s="17">
        <f t="shared" si="10"/>
        <v>201.94047370000001</v>
      </c>
      <c r="N37" s="17">
        <f t="shared" si="10"/>
        <v>201.94047370000001</v>
      </c>
      <c r="O37" s="17">
        <f t="shared" si="10"/>
        <v>201.94047370000001</v>
      </c>
      <c r="P37" s="17">
        <f t="shared" si="10"/>
        <v>201.94047370000001</v>
      </c>
      <c r="Q37" s="17">
        <f t="shared" si="10"/>
        <v>201.94047370000001</v>
      </c>
    </row>
    <row r="38" spans="2:17" x14ac:dyDescent="0.35">
      <c r="B38" t="s">
        <v>40</v>
      </c>
      <c r="C38" s="17">
        <f>'Historical FS'!C59</f>
        <v>7.7603084000000004</v>
      </c>
      <c r="D38" s="17">
        <f>'Historical FS'!D59</f>
        <v>5.7116262000000004</v>
      </c>
      <c r="E38" s="17">
        <f>'Historical FS'!E59</f>
        <v>7.4329381000000003</v>
      </c>
      <c r="F38" s="17">
        <f>'Historical FS'!F59</f>
        <v>7.4068576000000004</v>
      </c>
      <c r="G38" s="17">
        <f>'Historical FS'!G59</f>
        <v>7.8824931999999999</v>
      </c>
      <c r="H38" s="17">
        <f>G38</f>
        <v>7.8824931999999999</v>
      </c>
      <c r="I38" s="17">
        <f t="shared" ref="I38:Q38" si="11">H38</f>
        <v>7.8824931999999999</v>
      </c>
      <c r="J38" s="17">
        <f t="shared" si="11"/>
        <v>7.8824931999999999</v>
      </c>
      <c r="K38" s="17">
        <f t="shared" si="11"/>
        <v>7.8824931999999999</v>
      </c>
      <c r="L38" s="17">
        <f t="shared" si="11"/>
        <v>7.8824931999999999</v>
      </c>
      <c r="M38" s="17">
        <f t="shared" si="11"/>
        <v>7.8824931999999999</v>
      </c>
      <c r="N38" s="17">
        <f t="shared" si="11"/>
        <v>7.8824931999999999</v>
      </c>
      <c r="O38" s="17">
        <f t="shared" si="11"/>
        <v>7.8824931999999999</v>
      </c>
      <c r="P38" s="17">
        <f t="shared" si="11"/>
        <v>7.8824931999999999</v>
      </c>
      <c r="Q38" s="17">
        <f t="shared" si="11"/>
        <v>7.8824931999999999</v>
      </c>
    </row>
    <row r="39" spans="2:17" x14ac:dyDescent="0.35">
      <c r="B39" s="90" t="s">
        <v>485</v>
      </c>
      <c r="C39" s="155">
        <f>SUM(C35:C38)</f>
        <v>385.699254</v>
      </c>
      <c r="D39" s="155">
        <f t="shared" ref="D39:Q39" si="12">SUM(D35:D38)</f>
        <v>330.83527370000002</v>
      </c>
      <c r="E39" s="155">
        <f t="shared" si="12"/>
        <v>640.42276040000002</v>
      </c>
      <c r="F39" s="155">
        <f t="shared" si="12"/>
        <v>701.28414479999992</v>
      </c>
      <c r="G39" s="155">
        <f t="shared" si="12"/>
        <v>792.32472619999999</v>
      </c>
      <c r="H39" s="155">
        <f t="shared" si="12"/>
        <v>792.32472619999999</v>
      </c>
      <c r="I39" s="155">
        <f t="shared" si="12"/>
        <v>792.32472619999999</v>
      </c>
      <c r="J39" s="155">
        <f t="shared" si="12"/>
        <v>792.32472619999999</v>
      </c>
      <c r="K39" s="155">
        <f t="shared" si="12"/>
        <v>792.32472619999999</v>
      </c>
      <c r="L39" s="155">
        <f t="shared" si="12"/>
        <v>792.32472619999999</v>
      </c>
      <c r="M39" s="155">
        <f t="shared" si="12"/>
        <v>792.32472619999999</v>
      </c>
      <c r="N39" s="155">
        <f t="shared" si="12"/>
        <v>792.32472619999999</v>
      </c>
      <c r="O39" s="155">
        <f t="shared" si="12"/>
        <v>792.32472619999999</v>
      </c>
      <c r="P39" s="155">
        <f t="shared" si="12"/>
        <v>792.32472619999999</v>
      </c>
      <c r="Q39" s="155">
        <f t="shared" si="12"/>
        <v>792.32472619999999</v>
      </c>
    </row>
    <row r="40" spans="2:17" x14ac:dyDescent="0.35">
      <c r="B40" s="12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</row>
    <row r="41" spans="2:17" x14ac:dyDescent="0.35">
      <c r="B41" s="13" t="s">
        <v>268</v>
      </c>
      <c r="C41" s="36">
        <f>C32+C39</f>
        <v>4005.9401810999998</v>
      </c>
      <c r="D41" s="36">
        <f t="shared" ref="D41:Q41" si="13">D32+D39</f>
        <v>5817.2633268000009</v>
      </c>
      <c r="E41" s="36">
        <f t="shared" si="13"/>
        <v>4181.5430155000004</v>
      </c>
      <c r="F41" s="36">
        <f t="shared" si="13"/>
        <v>4235.1043860999998</v>
      </c>
      <c r="G41" s="36">
        <f t="shared" si="13"/>
        <v>3652.221301</v>
      </c>
      <c r="H41" s="36">
        <f t="shared" ca="1" si="13"/>
        <v>3831.5470135127152</v>
      </c>
      <c r="I41" s="36">
        <f t="shared" ca="1" si="13"/>
        <v>4016.5148232261181</v>
      </c>
      <c r="J41" s="36">
        <f t="shared" ca="1" si="13"/>
        <v>4074.3097192670984</v>
      </c>
      <c r="K41" s="36">
        <f t="shared" ca="1" si="13"/>
        <v>4142.8179058009055</v>
      </c>
      <c r="L41" s="36">
        <f t="shared" ca="1" si="13"/>
        <v>4205.17017913165</v>
      </c>
      <c r="M41" s="36">
        <f t="shared" ca="1" si="13"/>
        <v>4188.0851192631499</v>
      </c>
      <c r="N41" s="36">
        <f t="shared" ca="1" si="13"/>
        <v>4248.159203144568</v>
      </c>
      <c r="O41" s="36">
        <f t="shared" ca="1" si="13"/>
        <v>4287.4334585352335</v>
      </c>
      <c r="P41" s="36">
        <f t="shared" ca="1" si="13"/>
        <v>4342.4549190891867</v>
      </c>
      <c r="Q41" s="36">
        <f t="shared" ca="1" si="13"/>
        <v>4396.641334627916</v>
      </c>
    </row>
    <row r="42" spans="2:17" x14ac:dyDescent="0.35">
      <c r="B42" s="12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</row>
    <row r="43" spans="2:17" x14ac:dyDescent="0.35">
      <c r="B43" s="12" t="s">
        <v>353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</row>
    <row r="44" spans="2:17" x14ac:dyDescent="0.35">
      <c r="B44" t="s">
        <v>354</v>
      </c>
      <c r="C44" s="17">
        <f>'Historical FS'!C63</f>
        <v>302.92834299999998</v>
      </c>
      <c r="D44" s="17">
        <f>'Historical FS'!D63</f>
        <v>302.92834299999998</v>
      </c>
      <c r="E44" s="17">
        <f>'Historical FS'!E63</f>
        <v>302.92834299999998</v>
      </c>
      <c r="F44" s="17">
        <f>'Historical FS'!F63</f>
        <v>302.92834299999998</v>
      </c>
      <c r="G44" s="17">
        <f>'Historical FS'!G63</f>
        <v>302.92834299999998</v>
      </c>
      <c r="H44" s="17">
        <f>G44</f>
        <v>302.92834299999998</v>
      </c>
      <c r="I44" s="17">
        <f t="shared" ref="I44:Q44" si="14">H44</f>
        <v>302.92834299999998</v>
      </c>
      <c r="J44" s="17">
        <f t="shared" si="14"/>
        <v>302.92834299999998</v>
      </c>
      <c r="K44" s="17">
        <f t="shared" si="14"/>
        <v>302.92834299999998</v>
      </c>
      <c r="L44" s="17">
        <f t="shared" si="14"/>
        <v>302.92834299999998</v>
      </c>
      <c r="M44" s="17">
        <f t="shared" si="14"/>
        <v>302.92834299999998</v>
      </c>
      <c r="N44" s="17">
        <f t="shared" si="14"/>
        <v>302.92834299999998</v>
      </c>
      <c r="O44" s="17">
        <f t="shared" si="14"/>
        <v>302.92834299999998</v>
      </c>
      <c r="P44" s="17">
        <f t="shared" si="14"/>
        <v>302.92834299999998</v>
      </c>
      <c r="Q44" s="17">
        <f t="shared" si="14"/>
        <v>302.92834299999998</v>
      </c>
    </row>
    <row r="45" spans="2:17" x14ac:dyDescent="0.35">
      <c r="B45" t="s">
        <v>486</v>
      </c>
      <c r="C45" s="17">
        <f>'Historical FS'!C64</f>
        <v>93.168371699999994</v>
      </c>
      <c r="D45" s="17">
        <f>'Historical FS'!D64</f>
        <v>93.168371699999994</v>
      </c>
      <c r="E45" s="17">
        <f>'Historical FS'!E64</f>
        <v>93.168371699999994</v>
      </c>
      <c r="F45" s="17">
        <f>'Historical FS'!F64</f>
        <v>93.168371699999994</v>
      </c>
      <c r="G45" s="17">
        <f>'Historical FS'!G64</f>
        <v>93.168371699999994</v>
      </c>
      <c r="H45" s="17">
        <f>G45</f>
        <v>93.168371699999994</v>
      </c>
      <c r="I45" s="17">
        <f t="shared" ref="I45:Q45" si="15">H45</f>
        <v>93.168371699999994</v>
      </c>
      <c r="J45" s="17">
        <f t="shared" si="15"/>
        <v>93.168371699999994</v>
      </c>
      <c r="K45" s="17">
        <f t="shared" si="15"/>
        <v>93.168371699999994</v>
      </c>
      <c r="L45" s="17">
        <f t="shared" si="15"/>
        <v>93.168371699999994</v>
      </c>
      <c r="M45" s="17">
        <f t="shared" si="15"/>
        <v>93.168371699999994</v>
      </c>
      <c r="N45" s="17">
        <f t="shared" si="15"/>
        <v>93.168371699999994</v>
      </c>
      <c r="O45" s="17">
        <f t="shared" si="15"/>
        <v>93.168371699999994</v>
      </c>
      <c r="P45" s="17">
        <f t="shared" si="15"/>
        <v>93.168371699999994</v>
      </c>
      <c r="Q45" s="17">
        <f t="shared" si="15"/>
        <v>93.168371699999994</v>
      </c>
    </row>
    <row r="46" spans="2:17" x14ac:dyDescent="0.35">
      <c r="B46" t="s">
        <v>33</v>
      </c>
      <c r="C46" s="17">
        <f>'Historical FS'!C65</f>
        <v>3133.2448212999998</v>
      </c>
      <c r="D46" s="17">
        <f>'Historical FS'!D65</f>
        <v>3130.3390715999999</v>
      </c>
      <c r="E46" s="17">
        <f>'Historical FS'!E65</f>
        <v>3075.9669654999998</v>
      </c>
      <c r="F46" s="17">
        <f>'Historical FS'!F65</f>
        <v>3073.0612160000001</v>
      </c>
      <c r="G46" s="17">
        <f>'Historical FS'!G65</f>
        <v>3376.1916710999999</v>
      </c>
      <c r="H46" s="17">
        <f>G46</f>
        <v>3376.1916710999999</v>
      </c>
      <c r="I46" s="17">
        <f t="shared" ref="I46:Q46" si="16">H46</f>
        <v>3376.1916710999999</v>
      </c>
      <c r="J46" s="17">
        <f t="shared" si="16"/>
        <v>3376.1916710999999</v>
      </c>
      <c r="K46" s="17">
        <f t="shared" si="16"/>
        <v>3376.1916710999999</v>
      </c>
      <c r="L46" s="17">
        <f t="shared" si="16"/>
        <v>3376.1916710999999</v>
      </c>
      <c r="M46" s="17">
        <f t="shared" si="16"/>
        <v>3376.1916710999999</v>
      </c>
      <c r="N46" s="17">
        <f t="shared" si="16"/>
        <v>3376.1916710999999</v>
      </c>
      <c r="O46" s="17">
        <f t="shared" si="16"/>
        <v>3376.1916710999999</v>
      </c>
      <c r="P46" s="17">
        <f t="shared" si="16"/>
        <v>3376.1916710999999</v>
      </c>
      <c r="Q46" s="17">
        <f t="shared" si="16"/>
        <v>3376.1916710999999</v>
      </c>
    </row>
    <row r="47" spans="2:17" x14ac:dyDescent="0.35">
      <c r="B47" t="s">
        <v>34</v>
      </c>
      <c r="C47" s="17">
        <f>'Historical FS'!C66</f>
        <v>5909.6490475999999</v>
      </c>
      <c r="D47" s="17">
        <f>'Historical FS'!D66</f>
        <v>6611.9942829000001</v>
      </c>
      <c r="E47" s="17">
        <f>'Historical FS'!E66</f>
        <v>6940.3503629999996</v>
      </c>
      <c r="F47" s="17">
        <f>'Historical FS'!F66</f>
        <v>8020.9560207000004</v>
      </c>
      <c r="G47" s="17">
        <f>'Historical FS'!G66</f>
        <v>8337.0439511999994</v>
      </c>
      <c r="H47" s="17">
        <f ca="1">G47+'Income Statement'!H35+'Cash Flow Statement'!H31</f>
        <v>9132.3644694930881</v>
      </c>
      <c r="I47" s="17">
        <f ca="1">H47+'Income Statement'!I35+'Cash Flow Statement'!I31</f>
        <v>10112.117736276781</v>
      </c>
      <c r="J47" s="17">
        <f ca="1">I47+'Income Statement'!J35+'Cash Flow Statement'!J31</f>
        <v>11272.300582180513</v>
      </c>
      <c r="K47" s="17">
        <f ca="1">J47+'Income Statement'!K35+'Cash Flow Statement'!K31</f>
        <v>12452.213962947098</v>
      </c>
      <c r="L47" s="17">
        <f ca="1">K47+'Income Statement'!L35+'Cash Flow Statement'!L31</f>
        <v>13727.189697384983</v>
      </c>
      <c r="M47" s="17">
        <f ca="1">L47+'Income Statement'!M35+'Cash Flow Statement'!M31</f>
        <v>15201.604704957615</v>
      </c>
      <c r="N47" s="17">
        <f ca="1">M47+'Income Statement'!N35+'Cash Flow Statement'!N31</f>
        <v>16495.098239527033</v>
      </c>
      <c r="O47" s="17">
        <f ca="1">N47+'Income Statement'!O35+'Cash Flow Statement'!O31</f>
        <v>17969.093919901043</v>
      </c>
      <c r="P47" s="17">
        <f ca="1">O47+'Income Statement'!P35+'Cash Flow Statement'!P31</f>
        <v>19513.813932609803</v>
      </c>
      <c r="Q47" s="17">
        <f ca="1">P47+'Income Statement'!Q35+'Cash Flow Statement'!Q31</f>
        <v>21128.556391346865</v>
      </c>
    </row>
    <row r="48" spans="2:17" x14ac:dyDescent="0.35">
      <c r="B48" s="90" t="s">
        <v>179</v>
      </c>
      <c r="C48" s="155">
        <f>SUM(C44:C47)</f>
        <v>9438.9905835999998</v>
      </c>
      <c r="D48" s="155">
        <f t="shared" ref="D48:Q48" si="17">SUM(D44:D47)</f>
        <v>10138.4300692</v>
      </c>
      <c r="E48" s="155">
        <f t="shared" si="17"/>
        <v>10412.414043199999</v>
      </c>
      <c r="F48" s="155">
        <f t="shared" si="17"/>
        <v>11490.113951400001</v>
      </c>
      <c r="G48" s="155">
        <f t="shared" si="17"/>
        <v>12109.332337</v>
      </c>
      <c r="H48" s="155">
        <f t="shared" ca="1" si="17"/>
        <v>12904.652855293089</v>
      </c>
      <c r="I48" s="155">
        <f t="shared" ca="1" si="17"/>
        <v>13884.406122076782</v>
      </c>
      <c r="J48" s="155">
        <f t="shared" ca="1" si="17"/>
        <v>15044.588967980513</v>
      </c>
      <c r="K48" s="155">
        <f t="shared" ca="1" si="17"/>
        <v>16224.502348747099</v>
      </c>
      <c r="L48" s="155">
        <f t="shared" ca="1" si="17"/>
        <v>17499.478083184982</v>
      </c>
      <c r="M48" s="155">
        <f t="shared" ca="1" si="17"/>
        <v>18973.893090757614</v>
      </c>
      <c r="N48" s="155">
        <f t="shared" ca="1" si="17"/>
        <v>20267.386625327032</v>
      </c>
      <c r="O48" s="155">
        <f t="shared" ca="1" si="17"/>
        <v>21741.382305701041</v>
      </c>
      <c r="P48" s="155">
        <f t="shared" ca="1" si="17"/>
        <v>23286.102318409801</v>
      </c>
      <c r="Q48" s="155">
        <f t="shared" ca="1" si="17"/>
        <v>24900.844777146864</v>
      </c>
    </row>
    <row r="49" spans="2:17" x14ac:dyDescent="0.35">
      <c r="B49" s="12"/>
    </row>
    <row r="50" spans="2:17" ht="15" thickBot="1" x14ac:dyDescent="0.4">
      <c r="B50" s="85" t="s">
        <v>487</v>
      </c>
      <c r="C50" s="51">
        <f>C41+C48</f>
        <v>13444.930764699999</v>
      </c>
      <c r="D50" s="51">
        <f t="shared" ref="D50:Q50" si="18">D41+D48</f>
        <v>15955.693396000001</v>
      </c>
      <c r="E50" s="51">
        <f t="shared" si="18"/>
        <v>14593.957058699998</v>
      </c>
      <c r="F50" s="51">
        <f t="shared" si="18"/>
        <v>15725.2183375</v>
      </c>
      <c r="G50" s="51">
        <f t="shared" si="18"/>
        <v>15761.553637999999</v>
      </c>
      <c r="H50" s="51">
        <f t="shared" ca="1" si="18"/>
        <v>16736.199868805805</v>
      </c>
      <c r="I50" s="51">
        <f t="shared" ca="1" si="18"/>
        <v>17900.9209453029</v>
      </c>
      <c r="J50" s="51">
        <f t="shared" ca="1" si="18"/>
        <v>19118.898687247613</v>
      </c>
      <c r="K50" s="51">
        <f t="shared" ca="1" si="18"/>
        <v>20367.320254548005</v>
      </c>
      <c r="L50" s="51">
        <f t="shared" ca="1" si="18"/>
        <v>21704.64826231663</v>
      </c>
      <c r="M50" s="51">
        <f t="shared" ca="1" si="18"/>
        <v>23161.978210020763</v>
      </c>
      <c r="N50" s="51">
        <f t="shared" ca="1" si="18"/>
        <v>24515.545828471601</v>
      </c>
      <c r="O50" s="51">
        <f t="shared" ca="1" si="18"/>
        <v>26028.815764236275</v>
      </c>
      <c r="P50" s="51">
        <f t="shared" ca="1" si="18"/>
        <v>27628.557237498986</v>
      </c>
      <c r="Q50" s="51">
        <f t="shared" ca="1" si="18"/>
        <v>29297.486111774779</v>
      </c>
    </row>
    <row r="51" spans="2:17" ht="15" thickTop="1" x14ac:dyDescent="0.35"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</row>
    <row r="52" spans="2:17" x14ac:dyDescent="0.35">
      <c r="B52" s="2" t="s">
        <v>489</v>
      </c>
      <c r="C52" s="173" t="str">
        <f t="shared" ref="C52:Q52" si="19">IF(C23=C50, "Y", "N")</f>
        <v>Y</v>
      </c>
      <c r="D52" s="173" t="str">
        <f t="shared" si="19"/>
        <v>Y</v>
      </c>
      <c r="E52" s="173" t="str">
        <f t="shared" si="19"/>
        <v>Y</v>
      </c>
      <c r="F52" s="173" t="str">
        <f t="shared" si="19"/>
        <v>Y</v>
      </c>
      <c r="G52" s="173" t="str">
        <f t="shared" si="19"/>
        <v>Y</v>
      </c>
      <c r="H52" s="173" t="str">
        <f t="shared" ca="1" si="19"/>
        <v>Y</v>
      </c>
      <c r="I52" s="173" t="str">
        <f t="shared" ca="1" si="19"/>
        <v>Y</v>
      </c>
      <c r="J52" s="173" t="str">
        <f t="shared" ca="1" si="19"/>
        <v>Y</v>
      </c>
      <c r="K52" s="173" t="str">
        <f t="shared" ca="1" si="19"/>
        <v>Y</v>
      </c>
      <c r="L52" s="173" t="str">
        <f t="shared" ca="1" si="19"/>
        <v>Y</v>
      </c>
      <c r="M52" s="173" t="str">
        <f t="shared" ca="1" si="19"/>
        <v>Y</v>
      </c>
      <c r="N52" s="173" t="str">
        <f t="shared" ca="1" si="19"/>
        <v>Y</v>
      </c>
      <c r="O52" s="173" t="str">
        <f t="shared" ca="1" si="19"/>
        <v>Y</v>
      </c>
      <c r="P52" s="173" t="str">
        <f t="shared" ca="1" si="19"/>
        <v>Y</v>
      </c>
      <c r="Q52" s="173" t="str">
        <f t="shared" ca="1" si="19"/>
        <v>Y</v>
      </c>
    </row>
    <row r="55" spans="2:17" x14ac:dyDescent="0.35">
      <c r="B55" s="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</row>
    <row r="57" spans="2:17" x14ac:dyDescent="0.35"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</row>
    <row r="58" spans="2:17" x14ac:dyDescent="0.35">
      <c r="H58" s="17"/>
      <c r="I58" s="17"/>
      <c r="J58" s="17"/>
      <c r="K58" s="17"/>
      <c r="L58" s="17"/>
    </row>
    <row r="60" spans="2:17" x14ac:dyDescent="0.35">
      <c r="H60" s="17"/>
      <c r="I60" s="17"/>
      <c r="J60" s="17"/>
      <c r="K60" s="17"/>
      <c r="L60" s="17"/>
    </row>
    <row r="61" spans="2:17" x14ac:dyDescent="0.35">
      <c r="H61" s="17"/>
      <c r="I61" s="17"/>
      <c r="J61" s="17"/>
      <c r="K61" s="17"/>
      <c r="L61" s="17"/>
    </row>
    <row r="62" spans="2:17" x14ac:dyDescent="0.35">
      <c r="H62" s="17"/>
      <c r="I62" s="17"/>
      <c r="J62" s="17"/>
      <c r="K62" s="17"/>
      <c r="L62" s="17"/>
    </row>
    <row r="63" spans="2:17" x14ac:dyDescent="0.35">
      <c r="H63" s="17"/>
      <c r="I63" s="17"/>
      <c r="J63" s="17"/>
      <c r="K63" s="17"/>
      <c r="L63" s="17"/>
    </row>
    <row r="64" spans="2:17" x14ac:dyDescent="0.35">
      <c r="H64" s="17"/>
      <c r="I64" s="17"/>
      <c r="J64" s="17"/>
      <c r="K64" s="17"/>
      <c r="L64" s="17"/>
    </row>
    <row r="65" spans="3:12" x14ac:dyDescent="0.35">
      <c r="H65" s="17"/>
      <c r="I65" s="17"/>
      <c r="J65" s="17"/>
      <c r="K65" s="17"/>
      <c r="L65" s="17"/>
    </row>
    <row r="66" spans="3:12" x14ac:dyDescent="0.35">
      <c r="H66" s="17"/>
      <c r="I66" s="17"/>
      <c r="J66" s="17"/>
      <c r="K66" s="17"/>
      <c r="L66" s="17"/>
    </row>
    <row r="67" spans="3:12" x14ac:dyDescent="0.35">
      <c r="H67" s="17"/>
      <c r="I67" s="17"/>
      <c r="J67" s="17"/>
      <c r="K67" s="17"/>
      <c r="L67" s="17"/>
    </row>
    <row r="68" spans="3:12" x14ac:dyDescent="0.35">
      <c r="H68" s="17"/>
      <c r="I68" s="17"/>
      <c r="J68" s="17"/>
      <c r="K68" s="17"/>
      <c r="L68" s="17"/>
    </row>
    <row r="69" spans="3:12" x14ac:dyDescent="0.35">
      <c r="C69" s="17"/>
      <c r="D69" s="17"/>
      <c r="E69" s="17"/>
      <c r="F69" s="17"/>
      <c r="G69" s="17"/>
      <c r="H69" s="17"/>
      <c r="I69" s="17"/>
      <c r="J69" s="17"/>
      <c r="K69" s="17"/>
      <c r="L69" s="17"/>
    </row>
  </sheetData>
  <mergeCells count="1">
    <mergeCell ref="B2:Q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15CF1-3300-4E1A-84AE-5584D25F43E7}">
  <dimension ref="B2:R40"/>
  <sheetViews>
    <sheetView showGridLines="0" zoomScaleNormal="100" workbookViewId="0">
      <selection activeCell="C7" sqref="C7"/>
    </sheetView>
  </sheetViews>
  <sheetFormatPr defaultColWidth="8.7265625" defaultRowHeight="14.5" x14ac:dyDescent="0.35"/>
  <cols>
    <col min="1" max="1" width="2.1796875" style="2" customWidth="1"/>
    <col min="2" max="2" width="42.1796875" style="2" customWidth="1"/>
    <col min="3" max="7" width="10.81640625" style="2" customWidth="1"/>
    <col min="8" max="11" width="8.7265625" style="2"/>
    <col min="12" max="12" width="9" style="2" bestFit="1" customWidth="1"/>
    <col min="13" max="13" width="8.54296875" style="2" customWidth="1"/>
    <col min="14" max="16384" width="8.7265625" style="2"/>
  </cols>
  <sheetData>
    <row r="2" spans="2:18" ht="21" x14ac:dyDescent="0.5">
      <c r="B2" s="224" t="s">
        <v>200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</row>
    <row r="3" spans="2:18" x14ac:dyDescent="0.35">
      <c r="B3" s="72" t="s">
        <v>97</v>
      </c>
      <c r="C3" s="74">
        <v>2021</v>
      </c>
      <c r="D3" s="74">
        <v>2022</v>
      </c>
      <c r="E3" s="74">
        <v>2023</v>
      </c>
      <c r="F3" s="74">
        <v>2024</v>
      </c>
      <c r="G3" s="74">
        <v>2025</v>
      </c>
      <c r="H3" s="75">
        <v>2026</v>
      </c>
      <c r="I3" s="75">
        <v>2027</v>
      </c>
      <c r="J3" s="75">
        <v>2028</v>
      </c>
      <c r="K3" s="75">
        <v>2029</v>
      </c>
      <c r="L3" s="75">
        <v>2030</v>
      </c>
      <c r="M3" s="75">
        <v>2031</v>
      </c>
      <c r="N3" s="75">
        <v>2032</v>
      </c>
      <c r="O3" s="75">
        <v>2033</v>
      </c>
      <c r="P3" s="75">
        <v>2034</v>
      </c>
      <c r="Q3" s="75">
        <v>2035</v>
      </c>
    </row>
    <row r="4" spans="2:18" x14ac:dyDescent="0.35">
      <c r="Q4" s="15" t="s">
        <v>113</v>
      </c>
    </row>
    <row r="5" spans="2:18" x14ac:dyDescent="0.35">
      <c r="B5" s="64" t="s">
        <v>115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</row>
    <row r="6" spans="2:18" x14ac:dyDescent="0.35">
      <c r="B6" s="8" t="s">
        <v>276</v>
      </c>
      <c r="R6"/>
    </row>
    <row r="7" spans="2:18" x14ac:dyDescent="0.35">
      <c r="B7" s="82" t="s">
        <v>108</v>
      </c>
      <c r="C7" s="17">
        <f>'Income Statement'!C35</f>
        <v>1639.2035710999999</v>
      </c>
      <c r="D7" s="17">
        <f>'Income Statement'!D35</f>
        <v>1216.6150555999996</v>
      </c>
      <c r="E7" s="17">
        <f>'Income Statement'!E35</f>
        <v>782.67792070000007</v>
      </c>
      <c r="F7" s="17">
        <f>'Income Statement'!F35</f>
        <v>1356.5251326999989</v>
      </c>
      <c r="G7" s="17">
        <f>'Income Statement'!G35</f>
        <v>1036.6160362000001</v>
      </c>
      <c r="H7" s="17">
        <f ca="1">'Income Statement'!H35</f>
        <v>1325.5341971551472</v>
      </c>
      <c r="I7" s="17">
        <f ca="1">'Income Statement'!I35</f>
        <v>1632.9221113061551</v>
      </c>
      <c r="J7" s="17">
        <f ca="1">'Income Statement'!J35</f>
        <v>1933.6380765062183</v>
      </c>
      <c r="K7" s="17">
        <f ca="1">'Income Statement'!K35</f>
        <v>1966.5223012776416</v>
      </c>
      <c r="L7" s="17">
        <f ca="1">'Income Statement'!L35</f>
        <v>2124.9595573964739</v>
      </c>
      <c r="M7" s="17">
        <f ca="1">'Income Statement'!M35</f>
        <v>2457.3583459543856</v>
      </c>
      <c r="N7" s="17">
        <f ca="1">'Income Statement'!N35</f>
        <v>2155.8225576157001</v>
      </c>
      <c r="O7" s="17">
        <f ca="1">'Income Statement'!O35</f>
        <v>2456.6594672900155</v>
      </c>
      <c r="P7" s="17">
        <f ca="1">'Income Statement'!P35</f>
        <v>2574.5333545146032</v>
      </c>
      <c r="Q7" s="17">
        <f ca="1">'Income Statement'!Q35</f>
        <v>2691.237431228436</v>
      </c>
      <c r="R7"/>
    </row>
    <row r="8" spans="2:18" x14ac:dyDescent="0.35">
      <c r="B8" s="82" t="s">
        <v>117</v>
      </c>
      <c r="C8" s="17">
        <f>'Income Statement'!C22</f>
        <v>168.7615864</v>
      </c>
      <c r="D8" s="17">
        <f>'Income Statement'!D22</f>
        <v>192.86081189999999</v>
      </c>
      <c r="E8" s="17">
        <f>'Income Statement'!E22</f>
        <v>214.69745649999999</v>
      </c>
      <c r="F8" s="17">
        <f>'Income Statement'!F22</f>
        <v>251.5958717</v>
      </c>
      <c r="G8" s="17">
        <f>'Income Statement'!G22</f>
        <v>296.08110540000001</v>
      </c>
      <c r="H8" s="17">
        <f>'Income Statement'!H22</f>
        <v>249.60034978818405</v>
      </c>
      <c r="I8" s="17">
        <f>'Income Statement'!I22</f>
        <v>264.24696223531947</v>
      </c>
      <c r="J8" s="17">
        <f>'Income Statement'!J22</f>
        <v>278.79497553306658</v>
      </c>
      <c r="K8" s="17">
        <f>'Income Statement'!K22</f>
        <v>294.57782255086551</v>
      </c>
      <c r="L8" s="17">
        <f>'Income Statement'!L22</f>
        <v>311.54045819960686</v>
      </c>
      <c r="M8" s="17">
        <f>'Income Statement'!M22</f>
        <v>329.54935933503958</v>
      </c>
      <c r="N8" s="17">
        <f>'Income Statement'!N22</f>
        <v>348.33475215438489</v>
      </c>
      <c r="O8" s="17">
        <f>'Income Statement'!O22</f>
        <v>367.86545886447425</v>
      </c>
      <c r="P8" s="17">
        <f>'Income Statement'!P22</f>
        <v>388.1181768071101</v>
      </c>
      <c r="Q8" s="17">
        <f>'Income Statement'!Q22</f>
        <v>408.9736171855439</v>
      </c>
      <c r="R8"/>
    </row>
    <row r="9" spans="2:18" x14ac:dyDescent="0.35">
      <c r="B9" s="82" t="s">
        <v>410</v>
      </c>
      <c r="C9" s="17">
        <f>SUM('Historical FS'!C74:C77)</f>
        <v>21.0406114</v>
      </c>
      <c r="D9" s="17">
        <f>SUM('Historical FS'!D74:D77)</f>
        <v>424.84852760000001</v>
      </c>
      <c r="E9" s="17">
        <f>SUM('Historical FS'!E74:E77)</f>
        <v>730.56166840000003</v>
      </c>
      <c r="F9" s="17">
        <f>SUM('Historical FS'!F74:F77)</f>
        <v>477.78922990000001</v>
      </c>
      <c r="G9" s="17">
        <f>SUM('Historical FS'!G74:G77)</f>
        <v>412.1804813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/>
    </row>
    <row r="10" spans="2:18" x14ac:dyDescent="0.35">
      <c r="B10" s="82" t="s">
        <v>411</v>
      </c>
      <c r="C10" s="17">
        <f>'Historical FS'!C78</f>
        <v>-939.52300430000003</v>
      </c>
      <c r="D10" s="17">
        <f>'Historical FS'!D78</f>
        <v>-901.81409389999999</v>
      </c>
      <c r="E10" s="17">
        <f>'Historical FS'!E78</f>
        <v>723.76025540000001</v>
      </c>
      <c r="F10" s="17">
        <f>'Historical FS'!F78</f>
        <v>-254.44946949999999</v>
      </c>
      <c r="G10" s="17">
        <f>'Historical FS'!G78</f>
        <v>159.01845420000001</v>
      </c>
      <c r="H10" s="17">
        <f>-('Working Capital Schedule'!H7-'Working Capital Schedule'!G7)</f>
        <v>-96.86246054774665</v>
      </c>
      <c r="I10" s="17">
        <f>-('Working Capital Schedule'!I7-'Working Capital Schedule'!H7)</f>
        <v>-785.72518572329273</v>
      </c>
      <c r="J10" s="17">
        <f>-('Working Capital Schedule'!J7-'Working Capital Schedule'!I7)</f>
        <v>-331.60180127427793</v>
      </c>
      <c r="K10" s="17">
        <f>-('Working Capital Schedule'!K7-'Working Capital Schedule'!J7)</f>
        <v>-328.63490902489866</v>
      </c>
      <c r="L10" s="17">
        <f>-('Working Capital Schedule'!L7-'Working Capital Schedule'!K7)</f>
        <v>-310.04845349213701</v>
      </c>
      <c r="M10" s="17">
        <f>-('Working Capital Schedule'!M7-'Working Capital Schedule'!L7)</f>
        <v>-264.10578572338</v>
      </c>
      <c r="N10" s="17">
        <f>-('Working Capital Schedule'!N7-'Working Capital Schedule'!M7)</f>
        <v>-262.90885189751043</v>
      </c>
      <c r="O10" s="17">
        <f>-('Working Capital Schedule'!O7-'Working Capital Schedule'!N7)</f>
        <v>-263.04907168227146</v>
      </c>
      <c r="P10" s="17">
        <f>-('Working Capital Schedule'!P7-'Working Capital Schedule'!O7)</f>
        <v>-244.36124853116598</v>
      </c>
      <c r="Q10" s="17">
        <f>-('Working Capital Schedule'!Q7-'Working Capital Schedule'!P7)</f>
        <v>-240.65264755173939</v>
      </c>
      <c r="R10"/>
    </row>
    <row r="11" spans="2:18" x14ac:dyDescent="0.35">
      <c r="B11" s="82" t="s">
        <v>412</v>
      </c>
      <c r="C11" s="17">
        <f>'Historical FS'!C79</f>
        <v>-219.7305642</v>
      </c>
      <c r="D11" s="17">
        <f>'Historical FS'!D79</f>
        <v>-1206.7057295</v>
      </c>
      <c r="E11" s="17">
        <f>'Historical FS'!E79</f>
        <v>1062.4085818000001</v>
      </c>
      <c r="F11" s="17">
        <f>'Historical FS'!F79</f>
        <v>-60.913018399999999</v>
      </c>
      <c r="G11" s="17">
        <f>'Historical FS'!G79</f>
        <v>-346.6076228</v>
      </c>
      <c r="H11" s="17">
        <f>-('Working Capital Schedule'!H5-'Working Capital Schedule'!G5)</f>
        <v>331.28360342604674</v>
      </c>
      <c r="I11" s="17">
        <f>-('Working Capital Schedule'!I5-'Working Capital Schedule'!H5)</f>
        <v>-558.73790984767538</v>
      </c>
      <c r="J11" s="17">
        <f>-('Working Capital Schedule'!J5-'Working Capital Schedule'!I5)</f>
        <v>-182.24113149009372</v>
      </c>
      <c r="K11" s="17">
        <f>-('Working Capital Schedule'!K5-'Working Capital Schedule'!J5)</f>
        <v>-230.04443631742879</v>
      </c>
      <c r="L11" s="17">
        <f>-('Working Capital Schedule'!L5-'Working Capital Schedule'!K5)</f>
        <v>-217.03391744449573</v>
      </c>
      <c r="M11" s="17">
        <f>-('Working Capital Schedule'!M5-'Working Capital Schedule'!L5)</f>
        <v>-121.2784656098579</v>
      </c>
      <c r="N11" s="17">
        <f>-('Working Capital Schedule'!N5-'Working Capital Schedule'!M5)</f>
        <v>-181.11498686272944</v>
      </c>
      <c r="O11" s="17">
        <f>-('Working Capital Schedule'!O5-'Working Capital Schedule'!N5)</f>
        <v>-42.332460064109</v>
      </c>
      <c r="P11" s="17">
        <f>-('Working Capital Schedule'!P5-'Working Capital Schedule'!O5)</f>
        <v>-162.90749902077732</v>
      </c>
      <c r="Q11" s="17">
        <f>-('Working Capital Schedule'!Q5-'Working Capital Schedule'!P5)</f>
        <v>-160.43509836782687</v>
      </c>
      <c r="R11"/>
    </row>
    <row r="12" spans="2:18" x14ac:dyDescent="0.35">
      <c r="B12" s="82" t="s">
        <v>460</v>
      </c>
      <c r="C12" s="17"/>
      <c r="D12" s="17"/>
      <c r="E12" s="17"/>
      <c r="F12" s="17"/>
      <c r="G12" s="17"/>
      <c r="H12" s="17">
        <f>-('Working Capital Schedule'!H9-'Working Capital Schedule'!G9)</f>
        <v>-221.73319864477469</v>
      </c>
      <c r="I12" s="17">
        <f>-('Working Capital Schedule'!I9-'Working Capital Schedule'!H9)</f>
        <v>-67.349489456901722</v>
      </c>
      <c r="J12" s="17">
        <f>-('Working Capital Schedule'!J9-'Working Capital Schedule'!I9)</f>
        <v>-20.279142005628785</v>
      </c>
      <c r="K12" s="17">
        <f>-('Working Capital Schedule'!K9-'Working Capital Schedule'!J9)</f>
        <v>-22.637902429914959</v>
      </c>
      <c r="L12" s="17">
        <f>-('Working Capital Schedule'!L9-'Working Capital Schedule'!K9)</f>
        <v>-19.838694309328901</v>
      </c>
      <c r="M12" s="17">
        <f>-('Working Capital Schedule'!M9-'Working Capital Schedule'!L9)</f>
        <v>23.486991272737896</v>
      </c>
      <c r="N12" s="17">
        <f>-('Working Capital Schedule'!N9-'Working Capital Schedule'!M9)</f>
        <v>-21.909070991459089</v>
      </c>
      <c r="O12" s="17">
        <f>-('Working Capital Schedule'!O9-'Working Capital Schedule'!N9)</f>
        <v>-21.92075597352266</v>
      </c>
      <c r="P12" s="17">
        <f>-('Working Capital Schedule'!P9-'Working Capital Schedule'!O9)</f>
        <v>-20.363437377597279</v>
      </c>
      <c r="Q12" s="17">
        <f>-('Working Capital Schedule'!Q9-'Working Capital Schedule'!P9)</f>
        <v>-20.054387295978245</v>
      </c>
      <c r="R12"/>
    </row>
    <row r="13" spans="2:18" x14ac:dyDescent="0.35">
      <c r="B13" s="82" t="s">
        <v>413</v>
      </c>
      <c r="C13" s="17">
        <f>'Historical FS'!C80</f>
        <v>105.1864827</v>
      </c>
      <c r="D13" s="17">
        <f>'Historical FS'!D80</f>
        <v>165.67773650000001</v>
      </c>
      <c r="E13" s="17">
        <f>'Historical FS'!E80</f>
        <v>-152.344752</v>
      </c>
      <c r="F13" s="17">
        <f>'Historical FS'!F80</f>
        <v>57.210386399999997</v>
      </c>
      <c r="G13" s="17">
        <f>'Historical FS'!G80</f>
        <v>-122.70617489999999</v>
      </c>
      <c r="H13" s="17">
        <f>'Working Capital Schedule'!H14-'Working Capital Schedule'!G14</f>
        <v>154.73337538109294</v>
      </c>
      <c r="I13" s="17">
        <f>'Working Capital Schedule'!I14-'Working Capital Schedule'!H14</f>
        <v>83.810686477151307</v>
      </c>
      <c r="J13" s="17">
        <f>'Working Capital Schedule'!J14-'Working Capital Schedule'!I14</f>
        <v>27.336169723514104</v>
      </c>
      <c r="K13" s="17">
        <f>'Working Capital Schedule'!K14-'Working Capital Schedule'!J14</f>
        <v>34.506665447614353</v>
      </c>
      <c r="L13" s="17">
        <f>'Working Capital Schedule'!L14-'Working Capital Schedule'!K14</f>
        <v>32.555087616674314</v>
      </c>
      <c r="M13" s="17">
        <f>'Working Capital Schedule'!M14-'Working Capital Schedule'!L14</f>
        <v>18.191769841478731</v>
      </c>
      <c r="N13" s="17">
        <f>'Working Capital Schedule'!N14-'Working Capital Schedule'!M14</f>
        <v>27.167248029409393</v>
      </c>
      <c r="O13" s="17">
        <f>'Working Capital Schedule'!O14-'Working Capital Schedule'!N14</f>
        <v>6.3498690096163273</v>
      </c>
      <c r="P13" s="17">
        <f>'Working Capital Schedule'!P14-'Working Capital Schedule'!O14</f>
        <v>24.436124853116553</v>
      </c>
      <c r="Q13" s="17">
        <f>'Working Capital Schedule'!Q14-'Working Capital Schedule'!P14</f>
        <v>24.065264755173985</v>
      </c>
      <c r="R13"/>
    </row>
    <row r="14" spans="2:18" x14ac:dyDescent="0.35">
      <c r="B14" s="82" t="s">
        <v>461</v>
      </c>
      <c r="C14" s="17"/>
      <c r="D14" s="17"/>
      <c r="E14" s="17"/>
      <c r="F14" s="17"/>
      <c r="G14" s="17"/>
      <c r="H14" s="17">
        <f>'Working Capital Schedule'!H16-'Working Capital Schedule'!G16</f>
        <v>24.592337131621889</v>
      </c>
      <c r="I14" s="17">
        <f>'Working Capital Schedule'!I16-'Working Capital Schedule'!H16</f>
        <v>101.15712323625189</v>
      </c>
      <c r="J14" s="17">
        <f>'Working Capital Schedule'!J16-'Working Capital Schedule'!I16</f>
        <v>30.45872631746613</v>
      </c>
      <c r="K14" s="17">
        <f>'Working Capital Schedule'!K16-'Working Capital Schedule'!J16</f>
        <v>34.001521086192724</v>
      </c>
      <c r="L14" s="17">
        <f>'Working Capital Schedule'!L16-'Working Capital Schedule'!K16</f>
        <v>29.79718571407011</v>
      </c>
      <c r="M14" s="17">
        <f>'Working Capital Schedule'!M16-'Working Capital Schedule'!L16</f>
        <v>-35.276829709978529</v>
      </c>
      <c r="N14" s="17">
        <f>'Working Capital Schedule'!N16-'Working Capital Schedule'!M16</f>
        <v>32.906835852008157</v>
      </c>
      <c r="O14" s="17">
        <f>'Working Capital Schedule'!O16-'Working Capital Schedule'!N16</f>
        <v>32.924386381049203</v>
      </c>
      <c r="P14" s="17">
        <f>'Working Capital Schedule'!P16-'Working Capital Schedule'!O16</f>
        <v>30.585335700836708</v>
      </c>
      <c r="Q14" s="17">
        <f>'Working Capital Schedule'!Q16-'Working Capital Schedule'!P16</f>
        <v>30.121150783555208</v>
      </c>
      <c r="R14"/>
    </row>
    <row r="15" spans="2:18" x14ac:dyDescent="0.35">
      <c r="B15" s="82" t="s">
        <v>414</v>
      </c>
      <c r="C15" s="17">
        <f>SUM('Historical FS'!C81:C82)</f>
        <v>191.58947760000001</v>
      </c>
      <c r="D15" s="17">
        <f>SUM('Historical FS'!D81:D82)</f>
        <v>-131.05377989999999</v>
      </c>
      <c r="E15" s="17">
        <f>SUM('Historical FS'!E81:E82)</f>
        <v>26.253443499999999</v>
      </c>
      <c r="F15" s="17">
        <f>SUM('Historical FS'!F81:F82)</f>
        <v>-102.1540873</v>
      </c>
      <c r="G15" s="17">
        <f>SUM('Historical FS'!G81:G82)</f>
        <v>328.46759699999996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/>
    </row>
    <row r="16" spans="2:18" x14ac:dyDescent="0.35">
      <c r="B16" s="18" t="s">
        <v>270</v>
      </c>
      <c r="C16" s="36">
        <f t="shared" ref="C16:Q16" si="0">SUM(C7:C15)</f>
        <v>966.52816069999972</v>
      </c>
      <c r="D16" s="36">
        <f t="shared" si="0"/>
        <v>-239.57147170000044</v>
      </c>
      <c r="E16" s="36">
        <f t="shared" si="0"/>
        <v>3388.0145743000003</v>
      </c>
      <c r="F16" s="36">
        <f t="shared" si="0"/>
        <v>1725.6040454999991</v>
      </c>
      <c r="G16" s="36">
        <f t="shared" si="0"/>
        <v>1763.0498763999999</v>
      </c>
      <c r="H16" s="36">
        <f t="shared" ca="1" si="0"/>
        <v>1767.1482036895713</v>
      </c>
      <c r="I16" s="36">
        <f ca="1">SUM(I7:I15)</f>
        <v>670.32429822700783</v>
      </c>
      <c r="J16" s="36">
        <f t="shared" ca="1" si="0"/>
        <v>1736.105873310265</v>
      </c>
      <c r="K16" s="36">
        <f t="shared" ca="1" si="0"/>
        <v>1748.2910625900718</v>
      </c>
      <c r="L16" s="36">
        <f t="shared" ca="1" si="0"/>
        <v>1951.9312236808632</v>
      </c>
      <c r="M16" s="36">
        <f t="shared" ca="1" si="0"/>
        <v>2407.925385360425</v>
      </c>
      <c r="N16" s="36">
        <f t="shared" ca="1" si="0"/>
        <v>2098.2984838998036</v>
      </c>
      <c r="O16" s="36">
        <f t="shared" ca="1" si="0"/>
        <v>2536.4968938252518</v>
      </c>
      <c r="P16" s="36">
        <f t="shared" ca="1" si="0"/>
        <v>2590.0408069461259</v>
      </c>
      <c r="Q16" s="36">
        <f t="shared" ca="1" si="0"/>
        <v>2733.2553307371645</v>
      </c>
      <c r="R16" s="14"/>
    </row>
    <row r="17" spans="2:18" x14ac:dyDescent="0.35">
      <c r="D17" s="17">
        <f>(D15-D12-D14)</f>
        <v>-131.05377989999999</v>
      </c>
      <c r="E17" s="17">
        <f>(E15-E12-E14)</f>
        <v>26.253443499999999</v>
      </c>
      <c r="R17"/>
    </row>
    <row r="18" spans="2:18" x14ac:dyDescent="0.35">
      <c r="B18" s="8" t="s">
        <v>277</v>
      </c>
      <c r="D18" s="17"/>
      <c r="R18"/>
    </row>
    <row r="19" spans="2:18" x14ac:dyDescent="0.35">
      <c r="B19" s="82" t="s">
        <v>271</v>
      </c>
      <c r="C19" s="17">
        <f>'Historical FS'!C84</f>
        <v>-459.55298740000001</v>
      </c>
      <c r="D19" s="17">
        <f>'Historical FS'!D84</f>
        <v>-761.87803480000002</v>
      </c>
      <c r="E19" s="17">
        <f>'Historical FS'!E84</f>
        <v>-642.47735220000004</v>
      </c>
      <c r="F19" s="17">
        <f>'Historical FS'!F84</f>
        <v>-480.08757050000003</v>
      </c>
      <c r="G19" s="17">
        <f>'Historical FS'!G84</f>
        <v>-519.65591749999999</v>
      </c>
      <c r="H19" s="17">
        <f>-('Income Statement'!H6*Assumptions!D29+Assumptions!D31)</f>
        <v>-704.00983709490345</v>
      </c>
      <c r="I19" s="17">
        <f>-('Income Statement'!I6*Assumptions!E29+Assumptions!E31)</f>
        <v>-715.59742213319998</v>
      </c>
      <c r="J19" s="17">
        <f>-('Income Statement'!J6*Assumptions!F29+Assumptions!F31)</f>
        <v>-768.45601131755984</v>
      </c>
      <c r="K19" s="17">
        <f>-('Income Statement'!K6*Assumptions!G29+Assumptions!G31)</f>
        <v>-820.84166658551283</v>
      </c>
      <c r="L19" s="17">
        <f>-('Income Statement'!L6*Assumptions!H29+Assumptions!H31)</f>
        <v>-870.26457010234674</v>
      </c>
      <c r="M19" s="17">
        <f>-('Income Statement'!M6*Assumptions!I29+Assumptions!I31)</f>
        <v>-912.36403752115541</v>
      </c>
      <c r="N19" s="17">
        <f>-('Income Statement'!N6*Assumptions!J29+Assumptions!J31)</f>
        <v>-954.27270913264522</v>
      </c>
      <c r="O19" s="17">
        <f>-('Income Statement'!O6*Assumptions!K29+Assumptions!K31)</f>
        <v>-996.20373231149597</v>
      </c>
      <c r="P19" s="17">
        <f>-('Income Statement'!P6*Assumptions!L29+Assumptions!L31)</f>
        <v>-1035.1558453550631</v>
      </c>
      <c r="Q19" s="17">
        <f>-('Income Statement'!Q6*Assumptions!M29+Assumptions!M31)</f>
        <v>-1073.5167932877446</v>
      </c>
      <c r="R19"/>
    </row>
    <row r="20" spans="2:18" x14ac:dyDescent="0.35">
      <c r="B20" s="82" t="s">
        <v>415</v>
      </c>
      <c r="C20" s="17">
        <f>'Historical FS'!C85</f>
        <v>11.754630799999999</v>
      </c>
      <c r="D20" s="17">
        <f>'Historical FS'!D85</f>
        <v>0.78504689999999999</v>
      </c>
      <c r="E20" s="17">
        <f>'Historical FS'!E85</f>
        <v>1.8922211</v>
      </c>
      <c r="F20" s="17">
        <f>'Historical FS'!F85</f>
        <v>0.49463679999999999</v>
      </c>
      <c r="G20" s="17">
        <f>'Historical FS'!G85</f>
        <v>5.8602399999999999E-2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2"/>
    </row>
    <row r="21" spans="2:18" x14ac:dyDescent="0.35">
      <c r="B21" s="82" t="s">
        <v>416</v>
      </c>
      <c r="C21" s="17">
        <f>'Historical FS'!C86</f>
        <v>-0.1831593</v>
      </c>
      <c r="D21" s="17">
        <f>'Historical FS'!D86</f>
        <v>-0.36374879999999998</v>
      </c>
      <c r="E21" s="17">
        <f>'Historical FS'!E86</f>
        <v>-1.148884</v>
      </c>
      <c r="F21" s="17">
        <f>'Historical FS'!F86</f>
        <v>-0.38246140000000001</v>
      </c>
      <c r="G21" s="17">
        <f>'Historical FS'!G86</f>
        <v>-3.7926730000000002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/>
    </row>
    <row r="22" spans="2:18" x14ac:dyDescent="0.35">
      <c r="B22" s="82" t="s">
        <v>138</v>
      </c>
      <c r="C22" s="17">
        <f>'Historical FS'!C87</f>
        <v>-102.0012739</v>
      </c>
      <c r="D22" s="17">
        <f>'Historical FS'!D87</f>
        <v>93.590995599999999</v>
      </c>
      <c r="E22" s="17">
        <f>'Historical FS'!E87</f>
        <v>10.0104702</v>
      </c>
      <c r="F22" s="17">
        <f>'Historical FS'!F87</f>
        <v>2.6587882</v>
      </c>
      <c r="G22" s="17">
        <f>'Historical FS'!G87</f>
        <v>44.161242600000001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/>
    </row>
    <row r="23" spans="2:18" x14ac:dyDescent="0.35">
      <c r="B23" s="82" t="s">
        <v>339</v>
      </c>
      <c r="C23" s="17">
        <f>'Historical FS'!C88</f>
        <v>20.202402299999999</v>
      </c>
      <c r="D23" s="17">
        <f>'Historical FS'!D88</f>
        <v>20.7225486</v>
      </c>
      <c r="E23" s="17">
        <f>'Historical FS'!E88</f>
        <v>8.1418239000000003</v>
      </c>
      <c r="F23" s="17">
        <f>'Historical FS'!F88</f>
        <v>18.958533299999999</v>
      </c>
      <c r="G23" s="17">
        <f>'Historical FS'!G88</f>
        <v>36.1241634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/>
    </row>
    <row r="24" spans="2:18" x14ac:dyDescent="0.35">
      <c r="B24" s="18" t="s">
        <v>272</v>
      </c>
      <c r="C24" s="36">
        <f>SUM(C19:C23)</f>
        <v>-529.78038750000007</v>
      </c>
      <c r="D24" s="36">
        <f t="shared" ref="D24:G24" si="1">SUM(D19:D23)</f>
        <v>-647.14319250000005</v>
      </c>
      <c r="E24" s="36">
        <f t="shared" si="1"/>
        <v>-623.58172100000002</v>
      </c>
      <c r="F24" s="36">
        <f t="shared" si="1"/>
        <v>-458.35807360000001</v>
      </c>
      <c r="G24" s="36">
        <f t="shared" si="1"/>
        <v>-443.10458210000002</v>
      </c>
      <c r="H24" s="36">
        <f t="shared" ref="H24:Q24" si="2">SUM(H19:H22)</f>
        <v>-704.00983709490345</v>
      </c>
      <c r="I24" s="36">
        <f t="shared" si="2"/>
        <v>-715.59742213319998</v>
      </c>
      <c r="J24" s="36">
        <f t="shared" si="2"/>
        <v>-768.45601131755984</v>
      </c>
      <c r="K24" s="36">
        <f t="shared" si="2"/>
        <v>-820.84166658551283</v>
      </c>
      <c r="L24" s="36">
        <f t="shared" si="2"/>
        <v>-870.26457010234674</v>
      </c>
      <c r="M24" s="36">
        <f t="shared" si="2"/>
        <v>-912.36403752115541</v>
      </c>
      <c r="N24" s="36">
        <f t="shared" si="2"/>
        <v>-954.27270913264522</v>
      </c>
      <c r="O24" s="36">
        <f t="shared" si="2"/>
        <v>-996.20373231149597</v>
      </c>
      <c r="P24" s="36">
        <f t="shared" si="2"/>
        <v>-1035.1558453550631</v>
      </c>
      <c r="Q24" s="36">
        <f t="shared" si="2"/>
        <v>-1073.5167932877446</v>
      </c>
      <c r="R24"/>
    </row>
    <row r="25" spans="2:18" x14ac:dyDescent="0.35">
      <c r="R25"/>
    </row>
    <row r="26" spans="2:18" x14ac:dyDescent="0.35">
      <c r="B26" s="8" t="s">
        <v>278</v>
      </c>
      <c r="R26"/>
    </row>
    <row r="27" spans="2:18" x14ac:dyDescent="0.35">
      <c r="B27" s="82" t="s">
        <v>475</v>
      </c>
      <c r="C27" s="17">
        <f>'Historical FS'!C90</f>
        <v>139.27831069999999</v>
      </c>
      <c r="D27" s="17">
        <f>'Historical FS'!D90</f>
        <v>1877.9658803</v>
      </c>
      <c r="E27" s="17">
        <f>'Historical FS'!E90</f>
        <v>-1856.4035425</v>
      </c>
      <c r="F27" s="17">
        <f>'Historical FS'!F90</f>
        <v>-285.2449527</v>
      </c>
      <c r="G27" s="17">
        <f>'Historical FS'!G90</f>
        <v>-335.96250209999999</v>
      </c>
      <c r="H27" s="17">
        <f ca="1">'Debt Schedule'!D13+'Debt Schedule'!D14</f>
        <v>0</v>
      </c>
      <c r="I27" s="17">
        <f ca="1">'Debt Schedule'!E13+'Debt Schedule'!E14</f>
        <v>0</v>
      </c>
      <c r="J27" s="17">
        <f ca="1">'Debt Schedule'!F13+'Debt Schedule'!F14</f>
        <v>0</v>
      </c>
      <c r="K27" s="17">
        <f ca="1">'Debt Schedule'!G13+'Debt Schedule'!G14</f>
        <v>0</v>
      </c>
      <c r="L27" s="17">
        <f ca="1">'Debt Schedule'!H13+'Debt Schedule'!H14</f>
        <v>0</v>
      </c>
      <c r="M27" s="17">
        <f ca="1">'Debt Schedule'!I13+'Debt Schedule'!I14</f>
        <v>0</v>
      </c>
      <c r="N27" s="17">
        <f ca="1">'Debt Schedule'!J13+'Debt Schedule'!J14</f>
        <v>0</v>
      </c>
      <c r="O27" s="17">
        <f ca="1">'Debt Schedule'!K13+'Debt Schedule'!K14</f>
        <v>0</v>
      </c>
      <c r="P27" s="17">
        <f ca="1">'Debt Schedule'!L13+'Debt Schedule'!L14</f>
        <v>0</v>
      </c>
      <c r="Q27" s="17">
        <f ca="1">'Debt Schedule'!M13+'Debt Schedule'!M14</f>
        <v>0</v>
      </c>
      <c r="R27" s="12"/>
    </row>
    <row r="28" spans="2:18" x14ac:dyDescent="0.35">
      <c r="B28" s="82" t="s">
        <v>474</v>
      </c>
      <c r="C28" s="17">
        <f>'Historical FS'!C91</f>
        <v>-9.1645421999999996</v>
      </c>
      <c r="D28" s="17">
        <f>'Historical FS'!D91</f>
        <v>-185.11114380000001</v>
      </c>
      <c r="E28" s="17">
        <f>'Historical FS'!E91</f>
        <v>292.49189719999998</v>
      </c>
      <c r="F28" s="17">
        <f>'Historical FS'!F91</f>
        <v>145.7652057</v>
      </c>
      <c r="G28" s="17">
        <f>'Historical FS'!G91</f>
        <v>27.5834802</v>
      </c>
      <c r="H28" s="17">
        <f>'Debt Schedule'!D21+'Debt Schedule'!D22</f>
        <v>0</v>
      </c>
      <c r="I28" s="17">
        <f>'Debt Schedule'!E21+'Debt Schedule'!E22</f>
        <v>0</v>
      </c>
      <c r="J28" s="17">
        <f>'Debt Schedule'!F21+'Debt Schedule'!F22</f>
        <v>0</v>
      </c>
      <c r="K28" s="17">
        <f>'Debt Schedule'!G21+'Debt Schedule'!G22</f>
        <v>0</v>
      </c>
      <c r="L28" s="17">
        <f>'Debt Schedule'!H21+'Debt Schedule'!H22</f>
        <v>0</v>
      </c>
      <c r="M28" s="17">
        <f>'Debt Schedule'!I21+'Debt Schedule'!I22</f>
        <v>0</v>
      </c>
      <c r="N28" s="17">
        <f>'Debt Schedule'!J21+'Debt Schedule'!J22</f>
        <v>0</v>
      </c>
      <c r="O28" s="17">
        <f>'Debt Schedule'!K21+'Debt Schedule'!K22</f>
        <v>0</v>
      </c>
      <c r="P28" s="17">
        <f>'Debt Schedule'!L21+'Debt Schedule'!L22</f>
        <v>0</v>
      </c>
      <c r="Q28" s="17">
        <f>'Debt Schedule'!M21+'Debt Schedule'!M22</f>
        <v>0</v>
      </c>
      <c r="R28" s="12"/>
    </row>
    <row r="29" spans="2:18" x14ac:dyDescent="0.35">
      <c r="B29" s="82" t="s">
        <v>471</v>
      </c>
      <c r="C29" s="17">
        <f>'Historical FS'!C92</f>
        <v>0</v>
      </c>
      <c r="D29" s="17">
        <f>'Historical FS'!D92</f>
        <v>-3.5346058999999999</v>
      </c>
      <c r="E29" s="17">
        <f>'Historical FS'!E92</f>
        <v>-3.0258351000000001</v>
      </c>
      <c r="F29" s="17">
        <f>'Historical FS'!F92</f>
        <v>-3.7516805999999998</v>
      </c>
      <c r="G29" s="17">
        <f>'Historical FS'!G92</f>
        <v>-4.1340652000000002</v>
      </c>
      <c r="H29" s="17">
        <f>'Debt Schedule'!D29+'Debt Schedule'!D30</f>
        <v>0</v>
      </c>
      <c r="I29" s="17">
        <f>'Debt Schedule'!E29+'Debt Schedule'!E30</f>
        <v>0</v>
      </c>
      <c r="J29" s="17">
        <f>'Debt Schedule'!F29+'Debt Schedule'!F30</f>
        <v>0</v>
      </c>
      <c r="K29" s="17">
        <f>'Debt Schedule'!G29+'Debt Schedule'!G30</f>
        <v>0</v>
      </c>
      <c r="L29" s="17">
        <f>'Debt Schedule'!H29+'Debt Schedule'!H30</f>
        <v>0</v>
      </c>
      <c r="M29" s="17">
        <f>'Debt Schedule'!I29+'Debt Schedule'!I30</f>
        <v>0</v>
      </c>
      <c r="N29" s="17">
        <f>'Debt Schedule'!J29+'Debt Schedule'!J30</f>
        <v>0</v>
      </c>
      <c r="O29" s="17">
        <f>'Debt Schedule'!K29+'Debt Schedule'!K30</f>
        <v>0</v>
      </c>
      <c r="P29" s="17">
        <f>'Debt Schedule'!L29+'Debt Schedule'!L30</f>
        <v>0</v>
      </c>
      <c r="Q29" s="17">
        <f>'Debt Schedule'!M29+'Debt Schedule'!M30</f>
        <v>0</v>
      </c>
      <c r="R29"/>
    </row>
    <row r="30" spans="2:18" x14ac:dyDescent="0.35">
      <c r="B30" s="82" t="s">
        <v>340</v>
      </c>
      <c r="C30" s="17">
        <f>'Historical FS'!C93</f>
        <v>35.130934199999999</v>
      </c>
      <c r="D30" s="17">
        <f>'Historical FS'!D93</f>
        <v>0</v>
      </c>
      <c r="E30" s="17">
        <f>'Historical FS'!E93</f>
        <v>0</v>
      </c>
      <c r="F30" s="17">
        <f>'Historical FS'!F93</f>
        <v>0</v>
      </c>
      <c r="G30" s="17">
        <f>'Historical FS'!G93</f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/>
    </row>
    <row r="31" spans="2:18" x14ac:dyDescent="0.35">
      <c r="B31" s="82" t="s">
        <v>421</v>
      </c>
      <c r="C31" s="17">
        <f>'Historical FS'!C94</f>
        <v>-230.70193610000001</v>
      </c>
      <c r="D31" s="17">
        <f>'Historical FS'!D94</f>
        <v>-517.32085749999999</v>
      </c>
      <c r="E31" s="17">
        <f>'Historical FS'!E94</f>
        <v>-457.27918749999998</v>
      </c>
      <c r="F31" s="17">
        <f>'Historical FS'!F94</f>
        <v>-279.05848470000001</v>
      </c>
      <c r="G31" s="17">
        <f>'Historical FS'!G94</f>
        <v>-723.6663155</v>
      </c>
      <c r="H31" s="17">
        <f ca="1">-'Income Statement'!H35*Assumptions!D33</f>
        <v>-530.21367886205894</v>
      </c>
      <c r="I31" s="17">
        <f ca="1">-'Income Statement'!I35*Assumptions!E33</f>
        <v>-653.16884452246211</v>
      </c>
      <c r="J31" s="17">
        <f ca="1">-'Income Statement'!J35*Assumptions!F33</f>
        <v>-773.4552306024874</v>
      </c>
      <c r="K31" s="17">
        <f ca="1">-'Income Statement'!K35*Assumptions!G33</f>
        <v>-786.60892051105668</v>
      </c>
      <c r="L31" s="17">
        <f ca="1">-'Income Statement'!L35*Assumptions!H33</f>
        <v>-849.9838229585896</v>
      </c>
      <c r="M31" s="17">
        <f ca="1">-'Income Statement'!M35*Assumptions!I33</f>
        <v>-982.9433383817543</v>
      </c>
      <c r="N31" s="17">
        <f ca="1">-'Income Statement'!N35*Assumptions!J33</f>
        <v>-862.3290230462801</v>
      </c>
      <c r="O31" s="17">
        <f ca="1">-'Income Statement'!O35*Assumptions!K33</f>
        <v>-982.6637869160063</v>
      </c>
      <c r="P31" s="17">
        <f ca="1">-'Income Statement'!P35*Assumptions!L33</f>
        <v>-1029.8133418058412</v>
      </c>
      <c r="Q31" s="17">
        <f ca="1">-'Income Statement'!Q35*Assumptions!M33</f>
        <v>-1076.4949724913745</v>
      </c>
      <c r="R31"/>
    </row>
    <row r="32" spans="2:18" x14ac:dyDescent="0.35">
      <c r="B32" s="82" t="s">
        <v>341</v>
      </c>
      <c r="C32" s="17">
        <f>'Historical FS'!C95</f>
        <v>-147.61160319999999</v>
      </c>
      <c r="D32" s="17">
        <f>'Historical FS'!D95</f>
        <v>-423.5306119</v>
      </c>
      <c r="E32" s="17">
        <f>'Historical FS'!E95</f>
        <v>-730.62961189999999</v>
      </c>
      <c r="F32" s="17">
        <f>'Historical FS'!F95</f>
        <v>-431.9474409</v>
      </c>
      <c r="G32" s="17">
        <f>'Historical FS'!G95</f>
        <v>-431.95282889999999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/>
    </row>
    <row r="33" spans="2:18" x14ac:dyDescent="0.35">
      <c r="B33" s="18" t="s">
        <v>273</v>
      </c>
      <c r="C33" s="36">
        <f t="shared" ref="C33:Q33" si="3">SUM(C27:C32)</f>
        <v>-213.0688366</v>
      </c>
      <c r="D33" s="36">
        <f t="shared" si="3"/>
        <v>748.46866119999981</v>
      </c>
      <c r="E33" s="36">
        <f t="shared" si="3"/>
        <v>-2754.8462798</v>
      </c>
      <c r="F33" s="36">
        <f t="shared" si="3"/>
        <v>-854.23735319999992</v>
      </c>
      <c r="G33" s="36">
        <f t="shared" si="3"/>
        <v>-1468.1322315</v>
      </c>
      <c r="H33" s="36">
        <f t="shared" ca="1" si="3"/>
        <v>-530.21367886205894</v>
      </c>
      <c r="I33" s="36">
        <f t="shared" ca="1" si="3"/>
        <v>-653.16884452246211</v>
      </c>
      <c r="J33" s="36">
        <f t="shared" ca="1" si="3"/>
        <v>-773.4552306024874</v>
      </c>
      <c r="K33" s="36">
        <f t="shared" ca="1" si="3"/>
        <v>-786.60892051105668</v>
      </c>
      <c r="L33" s="36">
        <f t="shared" ca="1" si="3"/>
        <v>-849.9838229585896</v>
      </c>
      <c r="M33" s="36">
        <f t="shared" ca="1" si="3"/>
        <v>-982.9433383817543</v>
      </c>
      <c r="N33" s="36">
        <f t="shared" ca="1" si="3"/>
        <v>-862.3290230462801</v>
      </c>
      <c r="O33" s="36">
        <f t="shared" ca="1" si="3"/>
        <v>-982.6637869160063</v>
      </c>
      <c r="P33" s="36">
        <f t="shared" ca="1" si="3"/>
        <v>-1029.8133418058412</v>
      </c>
      <c r="Q33" s="36">
        <f t="shared" ca="1" si="3"/>
        <v>-1076.4949724913745</v>
      </c>
      <c r="R33"/>
    </row>
    <row r="34" spans="2:18" x14ac:dyDescent="0.35">
      <c r="R34" s="12"/>
    </row>
    <row r="35" spans="2:18" x14ac:dyDescent="0.35">
      <c r="B35" s="8" t="s">
        <v>279</v>
      </c>
      <c r="C35" s="38">
        <f t="shared" ref="C35:Q35" si="4">C16+C24+C33</f>
        <v>223.67893659999964</v>
      </c>
      <c r="D35" s="38">
        <f t="shared" si="4"/>
        <v>-138.24600300000066</v>
      </c>
      <c r="E35" s="38">
        <f t="shared" si="4"/>
        <v>9.5865735000002132</v>
      </c>
      <c r="F35" s="38">
        <f t="shared" si="4"/>
        <v>413.00861869999903</v>
      </c>
      <c r="G35" s="38">
        <f t="shared" si="4"/>
        <v>-148.1869372000001</v>
      </c>
      <c r="H35" s="38">
        <f t="shared" ca="1" si="4"/>
        <v>532.92468773260885</v>
      </c>
      <c r="I35" s="38">
        <f t="shared" ca="1" si="4"/>
        <v>-698.44196842865426</v>
      </c>
      <c r="J35" s="38">
        <f t="shared" ca="1" si="4"/>
        <v>194.19463139021775</v>
      </c>
      <c r="K35" s="38">
        <f t="shared" ca="1" si="4"/>
        <v>140.84047549350225</v>
      </c>
      <c r="L35" s="38">
        <f t="shared" ca="1" si="4"/>
        <v>231.68283061992702</v>
      </c>
      <c r="M35" s="38">
        <f t="shared" ca="1" si="4"/>
        <v>512.61800945751543</v>
      </c>
      <c r="N35" s="38">
        <f t="shared" ca="1" si="4"/>
        <v>281.69675172087841</v>
      </c>
      <c r="O35" s="38">
        <f t="shared" ca="1" si="4"/>
        <v>557.62937459774957</v>
      </c>
      <c r="P35" s="38">
        <f t="shared" ca="1" si="4"/>
        <v>525.07161978522163</v>
      </c>
      <c r="Q35" s="38">
        <f t="shared" ca="1" si="4"/>
        <v>583.24356495804545</v>
      </c>
    </row>
    <row r="36" spans="2:18" x14ac:dyDescent="0.35">
      <c r="B36" s="2" t="s">
        <v>274</v>
      </c>
      <c r="C36" s="17">
        <f>'Historical FS'!C98</f>
        <v>146.69792899999999</v>
      </c>
      <c r="D36" s="17">
        <f>'Historical FS'!D98</f>
        <v>370.38256560000002</v>
      </c>
      <c r="E36" s="17">
        <f>'Historical FS'!E98</f>
        <v>232.13656280000001</v>
      </c>
      <c r="F36" s="17">
        <f>'Historical FS'!F98</f>
        <v>241.7232161</v>
      </c>
      <c r="G36" s="17">
        <f>'Historical FS'!G98</f>
        <v>654.73263499999996</v>
      </c>
      <c r="H36" s="17">
        <f t="shared" ref="H36:Q36" si="5">G37</f>
        <v>506.54569779999986</v>
      </c>
      <c r="I36" s="17">
        <f t="shared" ca="1" si="5"/>
        <v>1039.4703855326088</v>
      </c>
      <c r="J36" s="17">
        <f t="shared" ca="1" si="5"/>
        <v>341.02841710395455</v>
      </c>
      <c r="K36" s="17">
        <f t="shared" ca="1" si="5"/>
        <v>535.2230484941723</v>
      </c>
      <c r="L36" s="17">
        <f t="shared" ca="1" si="5"/>
        <v>676.06352398767456</v>
      </c>
      <c r="M36" s="17">
        <f t="shared" ca="1" si="5"/>
        <v>907.74635460760157</v>
      </c>
      <c r="N36" s="17">
        <f t="shared" ca="1" si="5"/>
        <v>1420.3643640651171</v>
      </c>
      <c r="O36" s="17">
        <f t="shared" ca="1" si="5"/>
        <v>1702.0611157859955</v>
      </c>
      <c r="P36" s="17">
        <f t="shared" ca="1" si="5"/>
        <v>2259.6904903837449</v>
      </c>
      <c r="Q36" s="17">
        <f t="shared" ca="1" si="5"/>
        <v>2784.7621101689665</v>
      </c>
    </row>
    <row r="37" spans="2:18" ht="15" thickBot="1" x14ac:dyDescent="0.4">
      <c r="B37" s="88" t="s">
        <v>275</v>
      </c>
      <c r="C37" s="89">
        <f>SUM(C35:C36)</f>
        <v>370.37686559999963</v>
      </c>
      <c r="D37" s="89">
        <f t="shared" ref="D37:Q37" si="6">SUM(D35:D36)</f>
        <v>232.13656259999937</v>
      </c>
      <c r="E37" s="89">
        <f t="shared" si="6"/>
        <v>241.72313630000022</v>
      </c>
      <c r="F37" s="89">
        <f t="shared" si="6"/>
        <v>654.73183479999898</v>
      </c>
      <c r="G37" s="89">
        <f t="shared" si="6"/>
        <v>506.54569779999986</v>
      </c>
      <c r="H37" s="89">
        <f t="shared" ca="1" si="6"/>
        <v>1039.4703855326088</v>
      </c>
      <c r="I37" s="89">
        <f t="shared" ca="1" si="6"/>
        <v>341.02841710395455</v>
      </c>
      <c r="J37" s="89">
        <f ca="1">SUM(J35:J36)</f>
        <v>535.2230484941723</v>
      </c>
      <c r="K37" s="89">
        <f t="shared" ca="1" si="6"/>
        <v>676.06352398767456</v>
      </c>
      <c r="L37" s="89">
        <f ca="1">SUM(L35:L36)</f>
        <v>907.74635460760157</v>
      </c>
      <c r="M37" s="89">
        <f ca="1">SUM(M35:M36)</f>
        <v>1420.3643640651171</v>
      </c>
      <c r="N37" s="89">
        <f t="shared" ca="1" si="6"/>
        <v>1702.0611157859955</v>
      </c>
      <c r="O37" s="89">
        <f t="shared" ca="1" si="6"/>
        <v>2259.6904903837449</v>
      </c>
      <c r="P37" s="89">
        <f t="shared" ca="1" si="6"/>
        <v>2784.7621101689665</v>
      </c>
      <c r="Q37" s="89">
        <f t="shared" ca="1" si="6"/>
        <v>3368.0056751270122</v>
      </c>
    </row>
    <row r="39" spans="2:18" x14ac:dyDescent="0.35">
      <c r="B39" s="31" t="s">
        <v>530</v>
      </c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</row>
    <row r="40" spans="2:18" x14ac:dyDescent="0.35">
      <c r="B40" s="166" t="s">
        <v>522</v>
      </c>
      <c r="C40" s="166"/>
      <c r="D40" s="166"/>
      <c r="E40" s="166"/>
      <c r="F40" s="166"/>
      <c r="G40" s="166"/>
      <c r="H40" s="167">
        <f t="shared" ref="H40:Q40" ca="1" si="7">H16+H24+H30+H31+H32</f>
        <v>532.92468773260885</v>
      </c>
      <c r="I40" s="167">
        <f t="shared" ca="1" si="7"/>
        <v>-698.44196842865426</v>
      </c>
      <c r="J40" s="167">
        <f t="shared" ca="1" si="7"/>
        <v>194.19463139021775</v>
      </c>
      <c r="K40" s="167">
        <f t="shared" ca="1" si="7"/>
        <v>140.84047549350225</v>
      </c>
      <c r="L40" s="167">
        <f t="shared" ca="1" si="7"/>
        <v>231.68283061992702</v>
      </c>
      <c r="M40" s="167">
        <f t="shared" ca="1" si="7"/>
        <v>512.61800945751543</v>
      </c>
      <c r="N40" s="167">
        <f t="shared" ca="1" si="7"/>
        <v>281.69675172087841</v>
      </c>
      <c r="O40" s="167">
        <f t="shared" ca="1" si="7"/>
        <v>557.62937459774957</v>
      </c>
      <c r="P40" s="167">
        <f t="shared" ca="1" si="7"/>
        <v>525.07161978522163</v>
      </c>
      <c r="Q40" s="167">
        <f t="shared" ca="1" si="7"/>
        <v>583.24356495804545</v>
      </c>
    </row>
  </sheetData>
  <mergeCells count="1">
    <mergeCell ref="B2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9D9DA-9108-4BB1-89D3-722E4ADB20C1}">
  <dimension ref="B2:J52"/>
  <sheetViews>
    <sheetView showGridLines="0" workbookViewId="0">
      <pane ySplit="3" topLeftCell="A4" activePane="bottomLeft" state="frozen"/>
      <selection pane="bottomLeft" activeCell="L5" sqref="L5"/>
    </sheetView>
  </sheetViews>
  <sheetFormatPr defaultColWidth="8.7265625" defaultRowHeight="14.5" x14ac:dyDescent="0.35"/>
  <cols>
    <col min="1" max="1" width="5.26953125" style="2" customWidth="1"/>
    <col min="2" max="2" width="48.453125" style="2" customWidth="1"/>
    <col min="3" max="7" width="9.54296875" style="2" customWidth="1"/>
    <col min="8" max="8" width="10.1796875" style="2" customWidth="1"/>
    <col min="9" max="16384" width="8.7265625" style="2"/>
  </cols>
  <sheetData>
    <row r="2" spans="2:10" ht="21" x14ac:dyDescent="0.5">
      <c r="B2" s="224" t="s">
        <v>149</v>
      </c>
      <c r="C2" s="224"/>
      <c r="D2" s="224"/>
      <c r="E2" s="224"/>
      <c r="F2" s="224"/>
      <c r="G2" s="224"/>
      <c r="H2" s="224"/>
      <c r="I2" s="224"/>
      <c r="J2" s="224"/>
    </row>
    <row r="3" spans="2:10" x14ac:dyDescent="0.35">
      <c r="B3" s="72" t="s">
        <v>97</v>
      </c>
      <c r="C3" s="72">
        <v>2021</v>
      </c>
      <c r="D3" s="72">
        <v>2022</v>
      </c>
      <c r="E3" s="72">
        <v>2023</v>
      </c>
      <c r="F3" s="72">
        <v>2024</v>
      </c>
      <c r="G3" s="72">
        <v>2025</v>
      </c>
      <c r="H3" s="222" t="s">
        <v>567</v>
      </c>
      <c r="I3" s="149" t="s">
        <v>118</v>
      </c>
      <c r="J3" s="149" t="s">
        <v>119</v>
      </c>
    </row>
    <row r="5" spans="2:10" x14ac:dyDescent="0.35">
      <c r="B5" s="39" t="s">
        <v>230</v>
      </c>
      <c r="C5" s="40"/>
      <c r="D5" s="40"/>
      <c r="E5" s="40"/>
      <c r="F5" s="40"/>
      <c r="G5" s="40"/>
      <c r="H5" s="40"/>
      <c r="I5" s="40"/>
      <c r="J5" s="40"/>
    </row>
    <row r="6" spans="2:10" x14ac:dyDescent="0.35">
      <c r="B6" s="2" t="s">
        <v>101</v>
      </c>
      <c r="C6" s="30"/>
      <c r="D6" s="30">
        <f>IFERROR('Revenue Forecast'!D30,0)</f>
        <v>0.16771648196401201</v>
      </c>
      <c r="E6" s="30">
        <f>IFERROR('Revenue Forecast'!E30,0)</f>
        <v>-0.18740321744575117</v>
      </c>
      <c r="F6" s="30">
        <f>IFERROR('Revenue Forecast'!F30,0)</f>
        <v>0.13178123127903874</v>
      </c>
      <c r="G6" s="30">
        <f>IFERROR('Revenue Forecast'!G30,0)</f>
        <v>-5.7223280658740272E-2</v>
      </c>
      <c r="I6" s="41">
        <f>AVERAGE(C6:G6)</f>
        <v>1.3717803784639826E-2</v>
      </c>
      <c r="J6" s="41">
        <f>MEDIAN(C6:G6)</f>
        <v>3.7278975310149232E-2</v>
      </c>
    </row>
    <row r="7" spans="2:10" x14ac:dyDescent="0.35">
      <c r="B7" s="2" t="s">
        <v>78</v>
      </c>
      <c r="C7" s="30"/>
      <c r="D7" s="30">
        <f>IFERROR('Historical FS'!D12/'Historical FS'!C12-1,0)</f>
        <v>-8.3392790202474476E-2</v>
      </c>
      <c r="E7" s="30">
        <f>IFERROR('Historical FS'!E12/'Historical FS'!D12-1,0)</f>
        <v>-8.1097591381522727E-2</v>
      </c>
      <c r="F7" s="30">
        <f>IFERROR('Historical FS'!F12/'Historical FS'!E12-1,0)</f>
        <v>0.20307203547709274</v>
      </c>
      <c r="G7" s="30">
        <f>IFERROR('Historical FS'!G12/'Historical FS'!F12-1,0)</f>
        <v>-0.16566847843585319</v>
      </c>
      <c r="I7" s="41">
        <f>AVERAGE(C7:G7)</f>
        <v>-3.1771706135689415E-2</v>
      </c>
      <c r="J7" s="41">
        <f>MEDIAN(C7:G7)</f>
        <v>-8.2245190791998601E-2</v>
      </c>
    </row>
    <row r="8" spans="2:10" x14ac:dyDescent="0.35">
      <c r="B8" s="2" t="s">
        <v>79</v>
      </c>
      <c r="C8" s="30"/>
      <c r="D8" s="30">
        <f>IFERROR('Historical FS'!D14/'Historical FS'!C14-1,0)</f>
        <v>-0.10312506513024156</v>
      </c>
      <c r="E8" s="30">
        <f>IFERROR('Historical FS'!E14/'Historical FS'!D14-1,0)</f>
        <v>-0.10269785986172442</v>
      </c>
      <c r="F8" s="30">
        <f>IFERROR('Historical FS'!F14/'Historical FS'!E14-1,0)</f>
        <v>0.20737600630740105</v>
      </c>
      <c r="G8" s="30">
        <f>IFERROR('Historical FS'!G14/'Historical FS'!F14-1,0)</f>
        <v>-0.2115091022385186</v>
      </c>
      <c r="I8" s="41">
        <f>AVERAGE(C8:G8)</f>
        <v>-5.248900523077088E-2</v>
      </c>
      <c r="J8" s="41">
        <f>MEDIAN(C8:G8)</f>
        <v>-0.10291146249598299</v>
      </c>
    </row>
    <row r="9" spans="2:10" x14ac:dyDescent="0.35">
      <c r="B9" s="2" t="s">
        <v>80</v>
      </c>
      <c r="C9" s="30"/>
      <c r="D9" s="30">
        <f>IFERROR('Historical FS'!D23/'Historical FS'!C23-1,0)</f>
        <v>-0.25780125518532271</v>
      </c>
      <c r="E9" s="30">
        <f>IFERROR('Historical FS'!E23/'Historical FS'!D23-1,0)</f>
        <v>-0.35667572348948695</v>
      </c>
      <c r="F9" s="30">
        <f>IFERROR('Historical FS'!F23/'Historical FS'!E23-1,0)</f>
        <v>0.73318520749708993</v>
      </c>
      <c r="G9" s="30">
        <f>IFERROR('Historical FS'!G23/'Historical FS'!F23-1,0)</f>
        <v>-0.23583028424916164</v>
      </c>
      <c r="I9" s="41">
        <f>AVERAGE(C9:G9)</f>
        <v>-2.9280513856720342E-2</v>
      </c>
      <c r="J9" s="41">
        <f>MEDIAN(C9:G9)</f>
        <v>-0.24681576971724217</v>
      </c>
    </row>
    <row r="10" spans="2:10" x14ac:dyDescent="0.35">
      <c r="B10" s="40" t="s">
        <v>81</v>
      </c>
      <c r="C10" s="42"/>
      <c r="D10" s="42">
        <f>IFERROR('Historical FS'!D27/'Historical FS'!C27-1,0)</f>
        <v>0</v>
      </c>
      <c r="E10" s="42">
        <f>IFERROR('Historical FS'!E27/'Historical FS'!D27-1,0)</f>
        <v>0.19999999999999996</v>
      </c>
      <c r="F10" s="42">
        <f>IFERROR('Historical FS'!F27/'Historical FS'!E27-1,0)</f>
        <v>0.16666666666666674</v>
      </c>
      <c r="G10" s="42">
        <f>IFERROR('Historical FS'!G27/'Historical FS'!F27-1,0)</f>
        <v>-0.5</v>
      </c>
      <c r="H10" s="40"/>
      <c r="I10" s="41">
        <f>AVERAGE(C10:G10)</f>
        <v>-3.3333333333333326E-2</v>
      </c>
      <c r="J10" s="41">
        <f>MEDIAN(C10:G10)</f>
        <v>8.333333333333337E-2</v>
      </c>
    </row>
    <row r="11" spans="2:10" x14ac:dyDescent="0.35">
      <c r="B11" s="34"/>
      <c r="C11" s="34"/>
      <c r="D11" s="34"/>
      <c r="E11" s="34"/>
      <c r="F11" s="34"/>
      <c r="G11" s="34"/>
      <c r="H11" s="34"/>
      <c r="I11" s="34"/>
      <c r="J11" s="34"/>
    </row>
    <row r="12" spans="2:10" x14ac:dyDescent="0.35">
      <c r="B12" s="39" t="s">
        <v>219</v>
      </c>
      <c r="C12" s="40"/>
      <c r="D12" s="40"/>
      <c r="E12" s="40"/>
      <c r="F12" s="40"/>
      <c r="G12" s="40"/>
      <c r="H12" s="40"/>
      <c r="I12" s="40"/>
      <c r="J12" s="40"/>
    </row>
    <row r="13" spans="2:10" x14ac:dyDescent="0.35">
      <c r="B13" s="2" t="s">
        <v>82</v>
      </c>
      <c r="C13" s="43">
        <f>'Income Statement'!C11</f>
        <v>0.3779051368498697</v>
      </c>
      <c r="D13" s="43">
        <f>'Income Statement'!D11</f>
        <v>0.32485690064018929</v>
      </c>
      <c r="E13" s="43">
        <f>'Income Statement'!E11</f>
        <v>0.35181396694383799</v>
      </c>
      <c r="F13" s="43">
        <f>'Income Statement'!F11</f>
        <v>0.38135630922395714</v>
      </c>
      <c r="G13" s="43">
        <f>'Income Statement'!G11</f>
        <v>0.36049004241854005</v>
      </c>
      <c r="I13" s="41">
        <f t="shared" ref="I13:I18" si="0">AVERAGE(C13:G13)</f>
        <v>0.35928447121527884</v>
      </c>
      <c r="J13" s="41">
        <f t="shared" ref="J13:J18" si="1">MEDIAN(C13:G13)</f>
        <v>0.36049004241854005</v>
      </c>
    </row>
    <row r="14" spans="2:10" x14ac:dyDescent="0.35">
      <c r="B14" s="2" t="s">
        <v>83</v>
      </c>
      <c r="C14" s="43">
        <f>'Income Statement'!C20</f>
        <v>0.30068566287301313</v>
      </c>
      <c r="D14" s="43">
        <f>'Income Statement'!D20</f>
        <v>0.23602531156243967</v>
      </c>
      <c r="E14" s="43">
        <f>'Income Statement'!E20</f>
        <v>0.26690264094809313</v>
      </c>
      <c r="F14" s="43">
        <f>'Income Statement'!F20</f>
        <v>0.28371481576589819</v>
      </c>
      <c r="G14" s="43">
        <f>'Income Statement'!G20</f>
        <v>0.25107982520720951</v>
      </c>
      <c r="I14" s="41">
        <f t="shared" si="0"/>
        <v>0.2676816512713307</v>
      </c>
      <c r="J14" s="41">
        <f t="shared" si="1"/>
        <v>0.26690264094809313</v>
      </c>
    </row>
    <row r="15" spans="2:10" x14ac:dyDescent="0.35">
      <c r="B15" s="2" t="s">
        <v>84</v>
      </c>
      <c r="C15" s="43">
        <f>'Income Statement'!C24</f>
        <v>0.27655960634921389</v>
      </c>
      <c r="D15" s="43">
        <f>'Income Statement'!D24</f>
        <v>0.21241404293178551</v>
      </c>
      <c r="E15" s="43">
        <f>'Income Statement'!E24</f>
        <v>0.23455615307631414</v>
      </c>
      <c r="F15" s="43">
        <f>'Income Statement'!F24</f>
        <v>0.25022280236619826</v>
      </c>
      <c r="G15" s="43">
        <f>'Income Statement'!G24</f>
        <v>0.20927373152505391</v>
      </c>
      <c r="I15" s="41">
        <f t="shared" si="0"/>
        <v>0.23660526724971315</v>
      </c>
      <c r="J15" s="41">
        <f t="shared" si="1"/>
        <v>0.23455615307631414</v>
      </c>
    </row>
    <row r="16" spans="2:10" x14ac:dyDescent="0.35">
      <c r="B16" s="2" t="s">
        <v>85</v>
      </c>
      <c r="C16" s="43">
        <f>'Income Statement'!C36</f>
        <v>0.23433957249392229</v>
      </c>
      <c r="D16" s="43">
        <f>'Income Statement'!D36</f>
        <v>0.14894588804678693</v>
      </c>
      <c r="E16" s="43">
        <f>'Income Statement'!E36</f>
        <v>0.11791887189605228</v>
      </c>
      <c r="F16" s="43">
        <f>'Income Statement'!F36</f>
        <v>0.18057831241202379</v>
      </c>
      <c r="G16" s="43">
        <f>'Income Statement'!G36</f>
        <v>0.14636822928384674</v>
      </c>
      <c r="I16" s="41">
        <f t="shared" si="0"/>
        <v>0.16563017482652642</v>
      </c>
      <c r="J16" s="41">
        <f t="shared" si="1"/>
        <v>0.14894588804678693</v>
      </c>
    </row>
    <row r="17" spans="2:10" x14ac:dyDescent="0.35">
      <c r="B17" s="2" t="s">
        <v>206</v>
      </c>
      <c r="C17" s="43">
        <f>'Income Statement'!C35/'Balance Sheet'!C48</f>
        <v>0.17366301582587373</v>
      </c>
      <c r="D17" s="43">
        <f>'Income Statement'!D35/'Balance Sheet'!D48</f>
        <v>0.12000034002266387</v>
      </c>
      <c r="E17" s="43">
        <f>'Income Statement'!E35/'Balance Sheet'!E48</f>
        <v>7.5167767767662E-2</v>
      </c>
      <c r="F17" s="43">
        <f>'Income Statement'!F35/'Balance Sheet'!F48</f>
        <v>0.11806019839644102</v>
      </c>
      <c r="G17" s="43">
        <f>'Income Statement'!G35/'Balance Sheet'!G48</f>
        <v>8.5604722651192358E-2</v>
      </c>
      <c r="I17" s="41">
        <f t="shared" si="0"/>
        <v>0.11449920893276659</v>
      </c>
      <c r="J17" s="41">
        <f t="shared" si="1"/>
        <v>0.11806019839644102</v>
      </c>
    </row>
    <row r="18" spans="2:10" x14ac:dyDescent="0.35">
      <c r="B18" s="40" t="s">
        <v>207</v>
      </c>
      <c r="C18" s="42">
        <f>'Income Statement'!C35/'Balance Sheet'!C23</f>
        <v>0.12191982240650651</v>
      </c>
      <c r="D18" s="42">
        <f>'Income Statement'!D35/'Balance Sheet'!D23</f>
        <v>7.6249588495163612E-2</v>
      </c>
      <c r="E18" s="42">
        <f>'Income Statement'!E35/'Balance Sheet'!E23</f>
        <v>5.3630274335596771E-2</v>
      </c>
      <c r="F18" s="42">
        <f>'Income Statement'!F35/'Balance Sheet'!F23</f>
        <v>8.6264311476368344E-2</v>
      </c>
      <c r="G18" s="42">
        <f>'Income Statement'!G35/'Balance Sheet'!G23</f>
        <v>6.5768645655640931E-2</v>
      </c>
      <c r="H18" s="40"/>
      <c r="I18" s="44">
        <f t="shared" si="0"/>
        <v>8.0766528473855223E-2</v>
      </c>
      <c r="J18" s="44">
        <f t="shared" si="1"/>
        <v>7.6249588495163612E-2</v>
      </c>
    </row>
    <row r="20" spans="2:10" x14ac:dyDescent="0.35">
      <c r="B20" s="39" t="s">
        <v>218</v>
      </c>
      <c r="C20" s="40"/>
      <c r="D20" s="40"/>
      <c r="E20" s="40"/>
      <c r="F20" s="40"/>
      <c r="G20" s="40"/>
      <c r="H20" s="40"/>
      <c r="I20" s="40"/>
      <c r="J20" s="40"/>
    </row>
    <row r="21" spans="2:10" x14ac:dyDescent="0.35">
      <c r="B21" s="2" t="s">
        <v>168</v>
      </c>
      <c r="C21" s="45">
        <f>'Income Statement'!C6/AVERAGE('Balance Sheet'!C23)</f>
        <v>0.52026988488966608</v>
      </c>
      <c r="D21" s="45">
        <f>'Income Statement'!D6/AVERAGE('Balance Sheet'!C23:D23)</f>
        <v>0.55564589947164744</v>
      </c>
      <c r="E21" s="45">
        <f>'Income Statement'!E6/AVERAGE('Balance Sheet'!D23:E23)</f>
        <v>0.43453375352639073</v>
      </c>
      <c r="F21" s="45">
        <f>'Income Statement'!F6/AVERAGE('Balance Sheet'!E23:F23)</f>
        <v>0.49553560500471378</v>
      </c>
      <c r="G21" s="45">
        <f>'Income Statement'!G6/AVERAGE('Balance Sheet'!F23:G23)</f>
        <v>0.44985542345914215</v>
      </c>
      <c r="I21" s="45">
        <f t="shared" ref="I21:I30" si="2">AVERAGE(C21:G21)</f>
        <v>0.49116811327031201</v>
      </c>
      <c r="J21" s="45">
        <f t="shared" ref="J21:J30" si="3">MEDIAN(C21:G21)</f>
        <v>0.49553560500471378</v>
      </c>
    </row>
    <row r="22" spans="2:10" x14ac:dyDescent="0.35">
      <c r="B22" s="2" t="s">
        <v>89</v>
      </c>
      <c r="C22" s="45">
        <f>'Income Statement'!C6/AVERAGE('Balance Sheet'!C21)</f>
        <v>1.0558089723491637</v>
      </c>
      <c r="D22" s="45">
        <f>'Income Statement'!D6/AVERAGE('Balance Sheet'!C21:D21)</f>
        <v>1.1804179463974007</v>
      </c>
      <c r="E22" s="45">
        <f>'Income Statement'!E6/AVERAGE('Balance Sheet'!D21:E21)</f>
        <v>0.8936225053615795</v>
      </c>
      <c r="F22" s="45">
        <f>'Income Statement'!F6/AVERAGE('Balance Sheet'!E21:F21)</f>
        <v>0.96975137295806613</v>
      </c>
      <c r="G22" s="45">
        <f>'Income Statement'!G6/AVERAGE('Balance Sheet'!F21:G21)</f>
        <v>0.86789298682185156</v>
      </c>
      <c r="I22" s="45">
        <f t="shared" si="2"/>
        <v>0.99349875677761224</v>
      </c>
      <c r="J22" s="45">
        <f t="shared" si="3"/>
        <v>0.96975137295806613</v>
      </c>
    </row>
    <row r="23" spans="2:10" x14ac:dyDescent="0.35">
      <c r="B23" s="2" t="s">
        <v>170</v>
      </c>
      <c r="C23" s="45">
        <f>'Income Statement'!C6/AVERAGE('Balance Sheet'!C9)</f>
        <v>2.1273056400449186</v>
      </c>
      <c r="D23" s="45">
        <f>'Income Statement'!D6/AVERAGE('Balance Sheet'!C9:D9)</f>
        <v>2.1846998198712222</v>
      </c>
      <c r="E23" s="45">
        <f>'Income Statement'!E6/AVERAGE('Balance Sheet'!D9:E9)</f>
        <v>1.7337084480558986</v>
      </c>
      <c r="F23" s="45">
        <f>'Income Statement'!F6/AVERAGE('Balance Sheet'!E9:F9)</f>
        <v>2.0889740366529002</v>
      </c>
      <c r="G23" s="45">
        <f>'Income Statement'!G6/AVERAGE('Balance Sheet'!F9:G9)</f>
        <v>1.9320612062444742</v>
      </c>
      <c r="I23" s="45">
        <f t="shared" si="2"/>
        <v>2.0133498301738828</v>
      </c>
      <c r="J23" s="45">
        <f t="shared" si="3"/>
        <v>2.0889740366529002</v>
      </c>
    </row>
    <row r="24" spans="2:10" x14ac:dyDescent="0.35">
      <c r="B24" s="2" t="s">
        <v>171</v>
      </c>
      <c r="C24" s="45">
        <f>IFERROR((Data!E15/10000000)/(AVERAGE('Balance Sheet'!C26)),0)</f>
        <v>11.723199058185722</v>
      </c>
      <c r="D24" s="45">
        <f>IFERROR((Data!F15/10000000)/(AVERAGE('Balance Sheet'!D26:E26)),0)</f>
        <v>14.366484862968646</v>
      </c>
      <c r="E24" s="45">
        <f>IFERROR((Data!G15/10000000)/(AVERAGE('Balance Sheet'!E26:F26)),0)</f>
        <v>8.2139317144437474</v>
      </c>
      <c r="F24" s="45">
        <f>IFERROR((Data!H15/10000000)/(AVERAGE('Balance Sheet'!F26:G26)),0)</f>
        <v>11.685010457822099</v>
      </c>
      <c r="G24" s="45">
        <f>IFERROR((Data!I15/10000000)/(AVERAGE('Balance Sheet'!G26:H26)),0)</f>
        <v>12.905183148705763</v>
      </c>
      <c r="I24" s="45">
        <f t="shared" si="2"/>
        <v>11.778761848425194</v>
      </c>
      <c r="J24" s="45">
        <f t="shared" si="3"/>
        <v>11.723199058185722</v>
      </c>
    </row>
    <row r="25" spans="2:10" x14ac:dyDescent="0.35">
      <c r="B25" s="2" t="s">
        <v>88</v>
      </c>
      <c r="C25" s="45">
        <f>'Income Statement'!C8/AVERAGE('Balance Sheet'!C10)</f>
        <v>1.8033351138383589</v>
      </c>
      <c r="D25" s="45">
        <f>'Income Statement'!D8/AVERAGE('Balance Sheet'!C10:D10)</f>
        <v>1.8282276219127305</v>
      </c>
      <c r="E25" s="45">
        <f>'Income Statement'!E8/AVERAGE('Balance Sheet'!D10:E10)</f>
        <v>1.3929762984104916</v>
      </c>
      <c r="F25" s="45">
        <f>'Income Statement'!F8/AVERAGE('Balance Sheet'!E10:F10)</f>
        <v>1.7958517495913415</v>
      </c>
      <c r="G25" s="45">
        <f>'Income Statement'!G8/AVERAGE('Balance Sheet'!F10:G10)</f>
        <v>1.6224445660618705</v>
      </c>
      <c r="I25" s="45">
        <f t="shared" si="2"/>
        <v>1.6885670699629585</v>
      </c>
      <c r="J25" s="45">
        <f t="shared" si="3"/>
        <v>1.7958517495913415</v>
      </c>
    </row>
    <row r="26" spans="2:10" x14ac:dyDescent="0.35">
      <c r="B26" s="2" t="s">
        <v>169</v>
      </c>
      <c r="C26" s="45">
        <f>'Income Statement'!C6/'Balance Sheet'!C48</f>
        <v>0.74107421967912723</v>
      </c>
      <c r="D26" s="45">
        <f>'Income Statement'!D6/'Balance Sheet'!D48</f>
        <v>0.80566400050580322</v>
      </c>
      <c r="E26" s="45">
        <f>'Income Statement'!E6/'Balance Sheet'!E48</f>
        <v>0.63745324695714367</v>
      </c>
      <c r="F26" s="45">
        <f>'Income Statement'!F6/'Balance Sheet'!F48</f>
        <v>0.65378946574195584</v>
      </c>
      <c r="G26" s="45">
        <f>'Income Statement'!G6/'Balance Sheet'!G48</f>
        <v>0.58485863407681282</v>
      </c>
      <c r="I26" s="45">
        <f t="shared" si="2"/>
        <v>0.6845679133921686</v>
      </c>
      <c r="J26" s="45">
        <f t="shared" si="3"/>
        <v>0.65378946574195584</v>
      </c>
    </row>
    <row r="27" spans="2:10" x14ac:dyDescent="0.35">
      <c r="B27" s="2" t="s">
        <v>208</v>
      </c>
      <c r="C27" s="24">
        <f>'Working Capital Schedule'!C6</f>
        <v>0</v>
      </c>
      <c r="D27" s="24">
        <f>'Working Capital Schedule'!D6</f>
        <v>199.64691246603599</v>
      </c>
      <c r="E27" s="24">
        <f>'Working Capital Schedule'!E6</f>
        <v>262.02886611674376</v>
      </c>
      <c r="F27" s="24">
        <f>'Working Capital Schedule'!F6</f>
        <v>203.24617557270989</v>
      </c>
      <c r="G27" s="24">
        <f>'Working Capital Schedule'!G6</f>
        <v>224.96916544024535</v>
      </c>
      <c r="I27" s="24">
        <f t="shared" si="2"/>
        <v>177.97822391914698</v>
      </c>
      <c r="J27" s="24">
        <f t="shared" si="3"/>
        <v>203.24617557270989</v>
      </c>
    </row>
    <row r="28" spans="2:10" x14ac:dyDescent="0.35">
      <c r="B28" s="2" t="s">
        <v>209</v>
      </c>
      <c r="C28" s="24">
        <f>'Working Capital Schedule'!C8</f>
        <v>0</v>
      </c>
      <c r="D28" s="24">
        <f>'Working Capital Schedule'!D8</f>
        <v>167.07100750414079</v>
      </c>
      <c r="E28" s="24">
        <f>'Working Capital Schedule'!E8</f>
        <v>210.53136149235141</v>
      </c>
      <c r="F28" s="24">
        <f>'Working Capital Schedule'!F8</f>
        <v>174.72692029472441</v>
      </c>
      <c r="G28" s="24">
        <f>'Working Capital Schedule'!G8</f>
        <v>188.91741049419662</v>
      </c>
      <c r="I28" s="24">
        <f t="shared" si="2"/>
        <v>148.24933995708264</v>
      </c>
      <c r="J28" s="24">
        <f t="shared" si="3"/>
        <v>174.72692029472441</v>
      </c>
    </row>
    <row r="29" spans="2:10" x14ac:dyDescent="0.35">
      <c r="B29" s="2" t="s">
        <v>210</v>
      </c>
      <c r="C29" s="24">
        <f>'Working Capital Schedule'!C15</f>
        <v>0</v>
      </c>
      <c r="D29" s="24">
        <f>'Working Capital Schedule'!D15</f>
        <v>24.835924795177537</v>
      </c>
      <c r="E29" s="24">
        <f>'Working Capital Schedule'!E15</f>
        <v>32.406079027639883</v>
      </c>
      <c r="F29" s="24">
        <f>'Working Capital Schedule'!F15</f>
        <v>26.26420705952081</v>
      </c>
      <c r="G29" s="24">
        <f>'Working Capital Schedule'!G15</f>
        <v>24.310264400735289</v>
      </c>
      <c r="I29" s="24">
        <f t="shared" si="2"/>
        <v>21.563295056614706</v>
      </c>
      <c r="J29" s="24">
        <f t="shared" si="3"/>
        <v>24.835924795177537</v>
      </c>
    </row>
    <row r="30" spans="2:10" x14ac:dyDescent="0.35">
      <c r="B30" s="40" t="s">
        <v>211</v>
      </c>
      <c r="C30" s="46">
        <f t="shared" ref="C30:G30" si="4">C27+C28-C29</f>
        <v>0</v>
      </c>
      <c r="D30" s="46">
        <f t="shared" si="4"/>
        <v>341.88199517499925</v>
      </c>
      <c r="E30" s="46">
        <f t="shared" si="4"/>
        <v>440.15414858145527</v>
      </c>
      <c r="F30" s="46">
        <f t="shared" si="4"/>
        <v>351.70888880791347</v>
      </c>
      <c r="G30" s="46">
        <f t="shared" si="4"/>
        <v>389.5763115337067</v>
      </c>
      <c r="H30" s="40"/>
      <c r="I30" s="46">
        <f t="shared" si="2"/>
        <v>304.66426881961496</v>
      </c>
      <c r="J30" s="46">
        <f t="shared" si="3"/>
        <v>351.70888880791347</v>
      </c>
    </row>
    <row r="32" spans="2:10" x14ac:dyDescent="0.35">
      <c r="B32" s="39" t="s">
        <v>220</v>
      </c>
      <c r="C32" s="40"/>
      <c r="D32" s="40"/>
      <c r="E32" s="40"/>
      <c r="F32" s="40"/>
      <c r="G32" s="40"/>
      <c r="H32" s="40"/>
      <c r="I32" s="40"/>
      <c r="J32" s="40"/>
    </row>
    <row r="33" spans="2:10" x14ac:dyDescent="0.35">
      <c r="B33" s="2" t="s">
        <v>212</v>
      </c>
      <c r="C33" s="17">
        <f>'Historical FS'!C69/'Balance Sheet'!C48</f>
        <v>0.31407898805947487</v>
      </c>
      <c r="D33" s="17">
        <f>'Historical FS'!D69/'Balance Sheet'!D48</f>
        <v>0.46153413750076072</v>
      </c>
      <c r="E33" s="17">
        <f>'Historical FS'!E69/'Balance Sheet'!E48</f>
        <v>0.29933612920775909</v>
      </c>
      <c r="F33" s="17">
        <f>'Historical FS'!F69/'Balance Sheet'!F48</f>
        <v>0.25908967149427392</v>
      </c>
      <c r="G33" s="17">
        <f>'Historical FS'!G69/'Balance Sheet'!G48</f>
        <v>0.22046497507073912</v>
      </c>
      <c r="I33" s="17">
        <f>AVERAGE(C33:G33)</f>
        <v>0.31090078026660156</v>
      </c>
      <c r="J33" s="17">
        <f>MEDIAN(C33:G33)</f>
        <v>0.29933612920775909</v>
      </c>
    </row>
    <row r="34" spans="2:10" x14ac:dyDescent="0.35">
      <c r="B34" s="2" t="s">
        <v>213</v>
      </c>
      <c r="C34" s="17">
        <f>'Historical FS'!C69/'Balance Sheet'!C23</f>
        <v>0.22049861488194503</v>
      </c>
      <c r="D34" s="17">
        <f>'Historical FS'!D69/'Balance Sheet'!D23</f>
        <v>0.29326406953727602</v>
      </c>
      <c r="E34" s="17">
        <f>'Historical FS'!E69/'Balance Sheet'!E23</f>
        <v>0.21356865056293642</v>
      </c>
      <c r="F34" s="17">
        <f>'Historical FS'!F69/'Balance Sheet'!F23</f>
        <v>0.18931182926731177</v>
      </c>
      <c r="G34" s="17">
        <f>'Historical FS'!G69/'Balance Sheet'!G23</f>
        <v>0.16937947318616994</v>
      </c>
      <c r="I34" s="17">
        <f>AVERAGE(C34:G34)</f>
        <v>0.21720452748712785</v>
      </c>
      <c r="J34" s="17">
        <f>MEDIAN(C34:G34)</f>
        <v>0.21356865056293642</v>
      </c>
    </row>
    <row r="35" spans="2:10" x14ac:dyDescent="0.35">
      <c r="B35" s="2" t="s">
        <v>568</v>
      </c>
      <c r="C35" s="45">
        <f>'Income Statement'!C23/(-'Income Statement'!C28)</f>
        <v>15.529933614767783</v>
      </c>
      <c r="D35" s="45">
        <f>'Income Statement'!D23/(-'Income Statement'!D28)</f>
        <v>3.6617023456304807</v>
      </c>
      <c r="E35" s="45">
        <f>'Income Statement'!E23/(-'Income Statement'!E28)</f>
        <v>2.065922409158734</v>
      </c>
      <c r="F35" s="45">
        <f>'Income Statement'!F23/(-'Income Statement'!F28)</f>
        <v>4.0941102780240604</v>
      </c>
      <c r="G35" s="45">
        <f>'Income Statement'!G23/(-'Income Statement'!G28)</f>
        <v>3.3053424940844156</v>
      </c>
      <c r="I35" s="45">
        <f>AVERAGE(C35:G35)</f>
        <v>5.7314022283330956</v>
      </c>
      <c r="J35" s="45">
        <f>MEDIAN(C35:G35)</f>
        <v>3.6617023456304807</v>
      </c>
    </row>
    <row r="36" spans="2:10" x14ac:dyDescent="0.35">
      <c r="B36" s="40" t="s">
        <v>569</v>
      </c>
      <c r="C36" s="47">
        <f>'Balance Sheet'!C23/'Balance Sheet'!C48</f>
        <v>1.4244034513669521</v>
      </c>
      <c r="D36" s="47">
        <f>IFERROR('Historical FS'!#REF!/'Historical FS'!#REF!,0)</f>
        <v>0</v>
      </c>
      <c r="E36" s="47">
        <f>IFERROR('Historical FS'!#REF!/'Historical FS'!#REF!,0)</f>
        <v>0</v>
      </c>
      <c r="F36" s="47">
        <f>IFERROR('Historical FS'!#REF!/'Historical FS'!#REF!,0)</f>
        <v>0</v>
      </c>
      <c r="G36" s="47">
        <f>IFERROR('Historical FS'!#REF!/'Historical FS'!#REF!,0)</f>
        <v>0</v>
      </c>
      <c r="H36" s="40"/>
      <c r="I36" s="47">
        <f>AVERAGE(C36:G36)</f>
        <v>0.28488069027339041</v>
      </c>
      <c r="J36" s="47">
        <f>MEDIAN(C36:G36)</f>
        <v>0</v>
      </c>
    </row>
    <row r="38" spans="2:10" x14ac:dyDescent="0.35">
      <c r="B38" s="39" t="s">
        <v>217</v>
      </c>
      <c r="C38" s="40"/>
      <c r="D38" s="40"/>
      <c r="E38" s="40"/>
      <c r="F38" s="40"/>
      <c r="G38" s="40"/>
      <c r="H38" s="40"/>
      <c r="I38" s="40"/>
      <c r="J38" s="40"/>
    </row>
    <row r="39" spans="2:10" x14ac:dyDescent="0.35">
      <c r="B39" s="2" t="s">
        <v>214</v>
      </c>
      <c r="C39" s="17">
        <f>'Balance Sheet'!C13/'Balance Sheet'!C32</f>
        <v>1.8837658618656967</v>
      </c>
      <c r="D39" s="17">
        <f>'Balance Sheet'!D13/'Balance Sheet'!D32</f>
        <v>1.5932929160459492</v>
      </c>
      <c r="E39" s="17">
        <f>'Balance Sheet'!E13/'Balance Sheet'!E32</f>
        <v>1.963520041994069</v>
      </c>
      <c r="F39" s="17">
        <f>'Balance Sheet'!F13/'Balance Sheet'!F32</f>
        <v>2.2279701085767845</v>
      </c>
      <c r="G39" s="17">
        <f>'Balance Sheet'!G13/'Balance Sheet'!G32</f>
        <v>2.5500821502295112</v>
      </c>
      <c r="I39" s="17">
        <f>AVERAGE(C39:G39)</f>
        <v>2.0437262157424021</v>
      </c>
      <c r="J39" s="17">
        <f>MEDIAN(C39:G39)</f>
        <v>1.963520041994069</v>
      </c>
    </row>
    <row r="40" spans="2:10" x14ac:dyDescent="0.35">
      <c r="B40" s="2" t="s">
        <v>215</v>
      </c>
      <c r="C40" s="17">
        <f>('Balance Sheet'!C13-'Balance Sheet'!C10-'Balance Sheet'!C11)/'Balance Sheet'!C32</f>
        <v>1.0788600414306388</v>
      </c>
      <c r="D40" s="17">
        <f>('Balance Sheet'!D13-'Balance Sheet'!D10-'Balance Sheet'!D11)/'Balance Sheet'!D32</f>
        <v>0.83261362507413128</v>
      </c>
      <c r="E40" s="17">
        <f>('Balance Sheet'!E13-'Balance Sheet'!E10-'Balance Sheet'!E11)/'Balance Sheet'!E32</f>
        <v>1.0855162405071863</v>
      </c>
      <c r="F40" s="17">
        <f>('Balance Sheet'!F13-'Balance Sheet'!F10-'Balance Sheet'!F11)/'Balance Sheet'!F32</f>
        <v>1.2699596308410563</v>
      </c>
      <c r="G40" s="17">
        <f>('Balance Sheet'!G13-'Balance Sheet'!G10-'Balance Sheet'!G11)/'Balance Sheet'!G32</f>
        <v>1.4614101156760473</v>
      </c>
      <c r="I40" s="17">
        <f>AVERAGE(C40:G40)</f>
        <v>1.1456719307058119</v>
      </c>
      <c r="J40" s="17">
        <f>MEDIAN(C40:G40)</f>
        <v>1.0855162405071863</v>
      </c>
    </row>
    <row r="41" spans="2:10" x14ac:dyDescent="0.35">
      <c r="B41" s="40" t="s">
        <v>216</v>
      </c>
      <c r="C41" s="48">
        <f>'Balance Sheet'!C7/'Balance Sheet'!C32</f>
        <v>0.10230881677720151</v>
      </c>
      <c r="D41" s="48">
        <f>'Balance Sheet'!D7/'Balance Sheet'!D32</f>
        <v>4.2311055672886427E-2</v>
      </c>
      <c r="E41" s="48">
        <f>'Balance Sheet'!E7/'Balance Sheet'!E32</f>
        <v>6.8261792508137742E-2</v>
      </c>
      <c r="F41" s="48">
        <f>'Balance Sheet'!F7/'Balance Sheet'!F32</f>
        <v>0.18527615732914049</v>
      </c>
      <c r="G41" s="48">
        <f>'Balance Sheet'!G7/'Balance Sheet'!G32</f>
        <v>0.17712028555977555</v>
      </c>
      <c r="H41" s="40"/>
      <c r="I41" s="48">
        <f>AVERAGE(C41:G41)</f>
        <v>0.11505562156942835</v>
      </c>
      <c r="J41" s="48">
        <f>MEDIAN(C41:G41)</f>
        <v>0.10230881677720151</v>
      </c>
    </row>
    <row r="43" spans="2:10" x14ac:dyDescent="0.35">
      <c r="B43" s="39" t="s">
        <v>221</v>
      </c>
      <c r="C43" s="40"/>
      <c r="D43" s="40"/>
      <c r="E43" s="40"/>
      <c r="F43" s="40"/>
      <c r="G43" s="40"/>
      <c r="H43" s="40"/>
      <c r="I43" s="40"/>
      <c r="J43" s="40"/>
    </row>
    <row r="44" spans="2:10" x14ac:dyDescent="0.35">
      <c r="B44" s="2" t="s">
        <v>469</v>
      </c>
      <c r="C44" s="49">
        <f>'Historical FS'!C13/SUM('Historical FS'!C41:C43)</f>
        <v>2.708477978700017E-2</v>
      </c>
      <c r="D44" s="49">
        <f>'Historical FS'!D13/SUM('Historical FS'!D41:D43)</f>
        <v>2.9356608257525826E-2</v>
      </c>
      <c r="E44" s="49">
        <f>'Historical FS'!E13/SUM('Historical FS'!E41:E43)</f>
        <v>3.1089787618401917E-2</v>
      </c>
      <c r="F44" s="49">
        <f>'Historical FS'!F13/SUM('Historical FS'!F41:F43)</f>
        <v>3.5395278792934054E-2</v>
      </c>
      <c r="G44" s="49">
        <f>'Historical FS'!G13/SUM('Historical FS'!G41:G43)</f>
        <v>3.8234490201629716E-2</v>
      </c>
      <c r="I44" s="30">
        <f t="shared" ref="I44:I48" si="5">AVERAGE(C44:G44)</f>
        <v>3.2232188931498332E-2</v>
      </c>
      <c r="J44" s="30">
        <f t="shared" ref="J44:J48" si="6">MEDIAN(C44:G44)</f>
        <v>3.1089787618401917E-2</v>
      </c>
    </row>
    <row r="45" spans="2:10" x14ac:dyDescent="0.35">
      <c r="B45" s="2" t="s">
        <v>222</v>
      </c>
      <c r="C45" s="30">
        <f>IFERROR(-('Historical FS'!C84/'Historical FS'!C6),0)</f>
        <v>6.5697423129302782E-2</v>
      </c>
      <c r="D45" s="30">
        <f>IFERROR(-('Historical FS'!D84/'Historical FS'!D6),0)</f>
        <v>9.3274039273385831E-2</v>
      </c>
      <c r="E45" s="30">
        <f>IFERROR(-('Historical FS'!E84/'Historical FS'!E6),0)</f>
        <v>9.6796143837083529E-2</v>
      </c>
      <c r="F45" s="30">
        <f>IFERROR(-('Historical FS'!F84/'Historical FS'!F6),0)</f>
        <v>6.3908438701998665E-2</v>
      </c>
      <c r="G45" s="30">
        <f>IFERROR(-('Historical FS'!G84/'Historical FS'!G6),0)</f>
        <v>7.3374435493032367E-2</v>
      </c>
      <c r="I45" s="30">
        <f t="shared" si="5"/>
        <v>7.8610096086960637E-2</v>
      </c>
      <c r="J45" s="30">
        <f t="shared" si="6"/>
        <v>7.3374435493032367E-2</v>
      </c>
    </row>
    <row r="46" spans="2:10" x14ac:dyDescent="0.35">
      <c r="B46" s="2" t="s">
        <v>407</v>
      </c>
      <c r="C46" s="30">
        <f>'Income Statement'!C14</f>
        <v>0.10134553050065578</v>
      </c>
      <c r="D46" s="30">
        <f>'Income Statement'!D14</f>
        <v>0.11244285770840379</v>
      </c>
      <c r="E46" s="30">
        <f>'Income Statement'!E14</f>
        <v>0.11725781386752383</v>
      </c>
      <c r="F46" s="30">
        <f>'Income Statement'!F14</f>
        <v>0.13113350685775887</v>
      </c>
      <c r="G46" s="30">
        <f>'Income Statement'!G14</f>
        <v>0.15121631089348617</v>
      </c>
      <c r="I46" s="30">
        <f t="shared" si="5"/>
        <v>0.12267920396556568</v>
      </c>
      <c r="J46" s="30">
        <f t="shared" si="6"/>
        <v>0.11725781386752383</v>
      </c>
    </row>
    <row r="47" spans="2:10" x14ac:dyDescent="0.35">
      <c r="B47" s="2" t="s">
        <v>86</v>
      </c>
      <c r="C47" s="30">
        <f>IFERROR('Historical FS'!C29,0)</f>
        <v>0.5379947114536805</v>
      </c>
      <c r="D47" s="30">
        <f>IFERROR('Historical FS'!D29,0)</f>
        <v>0.37751809501957656</v>
      </c>
      <c r="E47" s="30">
        <f>IFERROR('Historical FS'!E29,0)</f>
        <v>0</v>
      </c>
      <c r="F47" s="30">
        <f>IFERROR('Historical FS'!F29,0)</f>
        <v>0.21840845431557454</v>
      </c>
      <c r="G47" s="30">
        <f>IFERROR('Historical FS'!G29,0)</f>
        <v>0.48860081106690467</v>
      </c>
      <c r="I47" s="30">
        <f t="shared" si="5"/>
        <v>0.32450441437114724</v>
      </c>
      <c r="J47" s="30">
        <f t="shared" si="6"/>
        <v>0.37751809501957656</v>
      </c>
    </row>
    <row r="48" spans="2:10" x14ac:dyDescent="0.35">
      <c r="B48" s="40" t="s">
        <v>87</v>
      </c>
      <c r="C48" s="42">
        <f>IFERROR(C17*C47,0)</f>
        <v>9.3429784089416892E-2</v>
      </c>
      <c r="D48" s="42">
        <f>IFERROR(D17*D47,0)</f>
        <v>4.5302299767057512E-2</v>
      </c>
      <c r="E48" s="42">
        <f>IFERROR(E17*E47,0)</f>
        <v>0</v>
      </c>
      <c r="F48" s="42">
        <f>IFERROR(F17*F47,0)</f>
        <v>2.5785345447956756E-2</v>
      </c>
      <c r="G48" s="42">
        <f>IFERROR(G17*G47,0)</f>
        <v>4.1826536918530013E-2</v>
      </c>
      <c r="H48" s="40"/>
      <c r="I48" s="42">
        <f t="shared" si="5"/>
        <v>4.1268793244592226E-2</v>
      </c>
      <c r="J48" s="42">
        <f t="shared" si="6"/>
        <v>4.1826536918530013E-2</v>
      </c>
    </row>
    <row r="49" spans="2:10" x14ac:dyDescent="0.35">
      <c r="B49" s="50"/>
      <c r="C49" s="50"/>
      <c r="D49" s="50"/>
      <c r="E49" s="50"/>
      <c r="F49" s="50"/>
      <c r="G49" s="50"/>
      <c r="H49" s="50"/>
      <c r="I49" s="50"/>
      <c r="J49" s="50"/>
    </row>
    <row r="50" spans="2:10" x14ac:dyDescent="0.35">
      <c r="B50" s="2" t="s">
        <v>90</v>
      </c>
      <c r="C50" s="43">
        <f>'Cash Flow Statement'!C16/'Income Statement'!C6</f>
        <v>0.13817429389187044</v>
      </c>
      <c r="D50" s="43">
        <f>'Cash Flow Statement'!D16/'Income Statement'!D6</f>
        <v>-2.9329889876658095E-2</v>
      </c>
      <c r="E50" s="43">
        <f>'Cash Flow Statement'!E16/'Income Statement'!E6</f>
        <v>0.51044094384511463</v>
      </c>
      <c r="F50" s="43">
        <f>'Cash Flow Statement'!F16/'Income Statement'!F6</f>
        <v>0.22970946790166402</v>
      </c>
      <c r="G50" s="43">
        <f>'Cash Flow Statement'!G16/'Income Statement'!G6</f>
        <v>0.24893931748706322</v>
      </c>
      <c r="I50" s="41">
        <f>AVERAGE(C50:G50)</f>
        <v>0.21958682664981083</v>
      </c>
      <c r="J50" s="41">
        <f>MEDIAN(C50:G50)</f>
        <v>0.22970946790166402</v>
      </c>
    </row>
    <row r="51" spans="2:10" x14ac:dyDescent="0.35">
      <c r="B51" s="2" t="s">
        <v>91</v>
      </c>
      <c r="C51" s="43">
        <f>'Cash Flow Statement'!C16/'Balance Sheet'!C23</f>
        <v>7.1887923977834334E-2</v>
      </c>
      <c r="D51" s="43">
        <f>'Cash Flow Statement'!D16/'Balance Sheet'!D23</f>
        <v>-1.5014795393352171E-2</v>
      </c>
      <c r="E51" s="43">
        <f>'Cash Flow Statement'!E16/'Balance Sheet'!E23</f>
        <v>0.23215188044426091</v>
      </c>
      <c r="F51" s="43">
        <f>'Cash Flow Statement'!F16/'Balance Sheet'!F23</f>
        <v>0.1097348226564806</v>
      </c>
      <c r="G51" s="43">
        <f>'Cash Flow Statement'!G16/'Balance Sheet'!G23</f>
        <v>0.11185761993344429</v>
      </c>
      <c r="I51" s="41">
        <f>AVERAGE(C51:G51)</f>
        <v>0.10212349032373358</v>
      </c>
      <c r="J51" s="41">
        <f>MEDIAN(C51:G51)</f>
        <v>0.1097348226564806</v>
      </c>
    </row>
    <row r="52" spans="2:10" x14ac:dyDescent="0.35">
      <c r="B52" s="40" t="s">
        <v>92</v>
      </c>
      <c r="C52" s="42">
        <f>'Cash Flow Statement'!C16/'Historical FS'!C69</f>
        <v>0.32602437895731518</v>
      </c>
      <c r="D52" s="42">
        <f>'Cash Flow Statement'!D16/'Historical FS'!D69</f>
        <v>-5.1198891896450612E-2</v>
      </c>
      <c r="E52" s="42">
        <f>'Cash Flow Statement'!E16/'Historical FS'!E69</f>
        <v>1.0870129105200681</v>
      </c>
      <c r="F52" s="42">
        <f>'Cash Flow Statement'!F16/'Historical FS'!F69</f>
        <v>0.5796511664441899</v>
      </c>
      <c r="G52" s="42">
        <f>'Cash Flow Statement'!G16/'Historical FS'!G69</f>
        <v>0.6603965511836154</v>
      </c>
      <c r="H52" s="40"/>
      <c r="I52" s="44">
        <f>AVERAGE(C52:G52)</f>
        <v>0.52037722304174761</v>
      </c>
      <c r="J52" s="44">
        <f>MEDIAN(C52:G52)</f>
        <v>0.5796511664441899</v>
      </c>
    </row>
  </sheetData>
  <mergeCells count="1">
    <mergeCell ref="B2:J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negative="1" xr2:uid="{A622238E-7917-4207-A528-F7418DE35D62}">
          <x14:colorSeries rgb="FF0070C0"/>
          <x14:colorNegative rgb="FFC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Analysis'!C47:G47</xm:f>
              <xm:sqref>H47</xm:sqref>
            </x14:sparkline>
            <x14:sparkline>
              <xm:f>'Ratio Analysis'!C48:G48</xm:f>
              <xm:sqref>H48</xm:sqref>
            </x14:sparkline>
          </x14:sparklines>
        </x14:sparklineGroup>
        <x14:sparklineGroup displayEmptyCellsAs="gap" markers="1" negative="1" xr2:uid="{02665C15-41C3-4CD5-AC68-2B3C094CD13F}">
          <x14:colorSeries rgb="FF0070C0"/>
          <x14:colorNegative rgb="FFC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Analysis'!C52:G52</xm:f>
              <xm:sqref>H52</xm:sqref>
            </x14:sparkline>
          </x14:sparklines>
        </x14:sparklineGroup>
        <x14:sparklineGroup displayEmptyCellsAs="gap" markers="1" negative="1" xr2:uid="{2862AB67-A84C-4D05-A434-580D0D951D6A}">
          <x14:colorSeries rgb="FF0070C0"/>
          <x14:colorNegative rgb="FFC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Analysis'!C51:G51</xm:f>
              <xm:sqref>H51</xm:sqref>
            </x14:sparkline>
          </x14:sparklines>
        </x14:sparklineGroup>
        <x14:sparklineGroup displayEmptyCellsAs="gap" markers="1" negative="1" xr2:uid="{4551E481-C317-41A3-B295-8EF56B46FC8B}">
          <x14:colorSeries rgb="FF0070C0"/>
          <x14:colorNegative rgb="FFC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Analysis'!C6:G6</xm:f>
              <xm:sqref>H6</xm:sqref>
            </x14:sparkline>
            <x14:sparkline>
              <xm:f>'Ratio Analysis'!C7:G7</xm:f>
              <xm:sqref>H7</xm:sqref>
            </x14:sparkline>
            <x14:sparkline>
              <xm:f>'Ratio Analysis'!C8:G8</xm:f>
              <xm:sqref>H8</xm:sqref>
            </x14:sparkline>
            <x14:sparkline>
              <xm:f>'Ratio Analysis'!C9:G9</xm:f>
              <xm:sqref>H9</xm:sqref>
            </x14:sparkline>
            <x14:sparkline>
              <xm:f>'Ratio Analysis'!C10:G10</xm:f>
              <xm:sqref>H10</xm:sqref>
            </x14:sparkline>
          </x14:sparklines>
        </x14:sparklineGroup>
        <x14:sparklineGroup displayEmptyCellsAs="gap" markers="1" negative="1" xr2:uid="{3B16F3D9-1162-4515-8F0D-0DE7CE717B46}">
          <x14:colorSeries rgb="FF0070C0"/>
          <x14:colorNegative rgb="FFC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Analysis'!C50:G50</xm:f>
              <xm:sqref>H50</xm:sqref>
            </x14:sparkline>
          </x14:sparklines>
        </x14:sparklineGroup>
        <x14:sparklineGroup displayEmptyCellsAs="gap" markers="1" negative="1" xr2:uid="{644288EA-4143-4A0E-AE9A-E2B82E046166}">
          <x14:colorSeries rgb="FF0070C0"/>
          <x14:colorNegative rgb="FFC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Analysis'!C45:G45</xm:f>
              <xm:sqref>H45</xm:sqref>
            </x14:sparkline>
            <x14:sparkline>
              <xm:f>'Ratio Analysis'!C46:G46</xm:f>
              <xm:sqref>H46</xm:sqref>
            </x14:sparkline>
          </x14:sparklines>
        </x14:sparklineGroup>
        <x14:sparklineGroup displayEmptyCellsAs="gap" markers="1" negative="1" xr2:uid="{AC6DAE5A-1A89-4109-8890-F29962A22157}">
          <x14:colorSeries rgb="FF0070C0"/>
          <x14:colorNegative rgb="FFC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Analysis'!C39:G39</xm:f>
              <xm:sqref>H39</xm:sqref>
            </x14:sparkline>
            <x14:sparkline>
              <xm:f>'Ratio Analysis'!C40:G40</xm:f>
              <xm:sqref>H40</xm:sqref>
            </x14:sparkline>
            <x14:sparkline>
              <xm:f>'Ratio Analysis'!C41:G41</xm:f>
              <xm:sqref>H41</xm:sqref>
            </x14:sparkline>
          </x14:sparklines>
        </x14:sparklineGroup>
        <x14:sparklineGroup displayEmptyCellsAs="gap" markers="1" negative="1" xr2:uid="{880FF792-F5FF-4A68-9A48-1B2AF455E859}">
          <x14:colorSeries rgb="FF0070C0"/>
          <x14:colorNegative rgb="FFC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Analysis'!C33:G33</xm:f>
              <xm:sqref>H33</xm:sqref>
            </x14:sparkline>
            <x14:sparkline>
              <xm:f>'Ratio Analysis'!C34:G34</xm:f>
              <xm:sqref>H34</xm:sqref>
            </x14:sparkline>
            <x14:sparkline>
              <xm:f>'Ratio Analysis'!C35:G35</xm:f>
              <xm:sqref>H35</xm:sqref>
            </x14:sparkline>
            <x14:sparkline>
              <xm:f>'Ratio Analysis'!C36:G36</xm:f>
              <xm:sqref>H36</xm:sqref>
            </x14:sparkline>
          </x14:sparklines>
        </x14:sparklineGroup>
        <x14:sparklineGroup displayEmptyCellsAs="gap" markers="1" negative="1" xr2:uid="{BD3966B0-3D15-41D8-817A-A114635CF275}">
          <x14:colorSeries rgb="FF0070C0"/>
          <x14:colorNegative rgb="FFC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Analysis'!C21:G21</xm:f>
              <xm:sqref>H21</xm:sqref>
            </x14:sparkline>
            <x14:sparkline>
              <xm:f>'Ratio Analysis'!C22:G22</xm:f>
              <xm:sqref>H22</xm:sqref>
            </x14:sparkline>
            <x14:sparkline>
              <xm:f>'Ratio Analysis'!C23:G23</xm:f>
              <xm:sqref>H23</xm:sqref>
            </x14:sparkline>
            <x14:sparkline>
              <xm:f>'Ratio Analysis'!C24:G24</xm:f>
              <xm:sqref>H24</xm:sqref>
            </x14:sparkline>
            <x14:sparkline>
              <xm:f>'Ratio Analysis'!C25:G25</xm:f>
              <xm:sqref>H25</xm:sqref>
            </x14:sparkline>
            <x14:sparkline>
              <xm:f>'Ratio Analysis'!C26:G26</xm:f>
              <xm:sqref>H26</xm:sqref>
            </x14:sparkline>
            <x14:sparkline>
              <xm:f>'Ratio Analysis'!C27:G27</xm:f>
              <xm:sqref>H27</xm:sqref>
            </x14:sparkline>
            <x14:sparkline>
              <xm:f>'Ratio Analysis'!C28:G28</xm:f>
              <xm:sqref>H28</xm:sqref>
            </x14:sparkline>
            <x14:sparkline>
              <xm:f>'Ratio Analysis'!C29:G29</xm:f>
              <xm:sqref>H29</xm:sqref>
            </x14:sparkline>
            <x14:sparkline>
              <xm:f>'Ratio Analysis'!C30:G30</xm:f>
              <xm:sqref>H30</xm:sqref>
            </x14:sparkline>
          </x14:sparklines>
        </x14:sparklineGroup>
        <x14:sparklineGroup displayEmptyCellsAs="gap" markers="1" negative="1" xr2:uid="{2745144E-BA31-49EA-877E-1E2DD22CC806}">
          <x14:colorSeries rgb="FF0070C0"/>
          <x14:colorNegative rgb="FFC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Analysis'!C44:G44</xm:f>
              <xm:sqref>H44</xm:sqref>
            </x14:sparkline>
          </x14:sparklines>
        </x14:sparklineGroup>
        <x14:sparklineGroup displayEmptyCellsAs="gap" markers="1" negative="1" xr2:uid="{8C9B992F-0AF3-42E9-B798-8B04E71EF71A}">
          <x14:colorSeries rgb="FF0070C0"/>
          <x14:colorNegative rgb="FFC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Analysis'!C13:G13</xm:f>
              <xm:sqref>H13</xm:sqref>
            </x14:sparkline>
            <x14:sparkline>
              <xm:f>'Ratio Analysis'!C14:G14</xm:f>
              <xm:sqref>H14</xm:sqref>
            </x14:sparkline>
            <x14:sparkline>
              <xm:f>'Ratio Analysis'!C15:G15</xm:f>
              <xm:sqref>H15</xm:sqref>
            </x14:sparkline>
            <x14:sparkline>
              <xm:f>'Ratio Analysis'!C16:G16</xm:f>
              <xm:sqref>H16</xm:sqref>
            </x14:sparkline>
            <x14:sparkline>
              <xm:f>'Ratio Analysis'!C17:G17</xm:f>
              <xm:sqref>H17</xm:sqref>
            </x14:sparkline>
            <x14:sparkline>
              <xm:f>'Ratio Analysis'!C18:G18</xm:f>
              <xm:sqref>H18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121A2-BCBA-41EC-93DA-AEA2D90B2725}">
  <dimension ref="B2:W26"/>
  <sheetViews>
    <sheetView showGridLines="0" workbookViewId="0">
      <selection activeCell="N12" sqref="N12"/>
    </sheetView>
  </sheetViews>
  <sheetFormatPr defaultRowHeight="14.5" x14ac:dyDescent="0.35"/>
  <cols>
    <col min="1" max="1" width="3.7265625" customWidth="1"/>
    <col min="2" max="2" width="32.81640625" customWidth="1"/>
  </cols>
  <sheetData>
    <row r="2" spans="2:23" ht="21" x14ac:dyDescent="0.5">
      <c r="B2" s="224" t="s">
        <v>539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</row>
    <row r="3" spans="2:23" x14ac:dyDescent="0.35">
      <c r="B3" s="72" t="s">
        <v>97</v>
      </c>
      <c r="C3" s="74">
        <v>2025</v>
      </c>
      <c r="D3" s="75">
        <v>2026</v>
      </c>
      <c r="E3" s="75">
        <v>2027</v>
      </c>
      <c r="F3" s="75">
        <v>2028</v>
      </c>
      <c r="G3" s="75">
        <v>2029</v>
      </c>
      <c r="H3" s="75">
        <v>2030</v>
      </c>
      <c r="I3" s="75">
        <v>2031</v>
      </c>
      <c r="J3" s="75">
        <v>2032</v>
      </c>
      <c r="K3" s="75">
        <v>2033</v>
      </c>
      <c r="L3" s="75">
        <v>2034</v>
      </c>
      <c r="M3" s="75">
        <v>2035</v>
      </c>
    </row>
    <row r="4" spans="2:23" x14ac:dyDescent="0.35">
      <c r="B4" s="12" t="s">
        <v>548</v>
      </c>
    </row>
    <row r="5" spans="2:23" ht="16" x14ac:dyDescent="0.4">
      <c r="B5" s="175" t="s">
        <v>266</v>
      </c>
      <c r="C5" s="14"/>
      <c r="D5" s="14">
        <f>'Income Statement'!H23</f>
        <v>1802.3634107512369</v>
      </c>
      <c r="E5" s="14">
        <f>'Income Statement'!I23</f>
        <v>2162.0590386507793</v>
      </c>
      <c r="F5" s="14">
        <f>'Income Statement'!J23</f>
        <v>2502.5378251627253</v>
      </c>
      <c r="G5" s="14">
        <f>'Income Statement'!K23</f>
        <v>2694.0197318266673</v>
      </c>
      <c r="H5" s="14">
        <f>'Income Statement'!L23</f>
        <v>2878.3680403634853</v>
      </c>
      <c r="I5" s="14">
        <f>'Income Statement'!M23</f>
        <v>3249.7343626615666</v>
      </c>
      <c r="J5" s="14">
        <f>'Income Statement'!N23</f>
        <v>3399.0081663500414</v>
      </c>
      <c r="K5" s="14">
        <f>'Income Statement'!O23</f>
        <v>3801.8159825531884</v>
      </c>
      <c r="L5" s="14">
        <f>'Income Statement'!P23</f>
        <v>3950.4690754096482</v>
      </c>
      <c r="M5" s="14">
        <f>'Income Statement'!Q23</f>
        <v>4096.8661026702885</v>
      </c>
      <c r="P5" s="226" t="s">
        <v>565</v>
      </c>
      <c r="Q5" s="226"/>
      <c r="R5" s="226"/>
      <c r="S5" s="226"/>
      <c r="T5" s="226"/>
      <c r="U5" s="226"/>
      <c r="V5" s="226"/>
      <c r="W5" s="207"/>
    </row>
    <row r="6" spans="2:23" x14ac:dyDescent="0.35">
      <c r="B6" s="175" t="s">
        <v>117</v>
      </c>
      <c r="C6" s="14"/>
      <c r="D6" s="14">
        <f>'Income Statement'!H22</f>
        <v>249.60034978818405</v>
      </c>
      <c r="E6" s="14">
        <f>'Income Statement'!I22</f>
        <v>264.24696223531947</v>
      </c>
      <c r="F6" s="14">
        <f>'Income Statement'!J22</f>
        <v>278.79497553306658</v>
      </c>
      <c r="G6" s="14">
        <f>'Income Statement'!K22</f>
        <v>294.57782255086551</v>
      </c>
      <c r="H6" s="14">
        <f>'Income Statement'!L22</f>
        <v>311.54045819960686</v>
      </c>
      <c r="I6" s="14">
        <f>'Income Statement'!M22</f>
        <v>329.54935933503958</v>
      </c>
      <c r="J6" s="14">
        <f>'Income Statement'!N22</f>
        <v>348.33475215438489</v>
      </c>
      <c r="K6" s="14">
        <f>'Income Statement'!O22</f>
        <v>367.86545886447425</v>
      </c>
      <c r="L6" s="14">
        <f>'Income Statement'!P22</f>
        <v>388.1181768071101</v>
      </c>
      <c r="M6" s="14">
        <f>'Income Statement'!Q22</f>
        <v>408.9736171855439</v>
      </c>
      <c r="P6" s="225" t="s">
        <v>564</v>
      </c>
      <c r="Q6" s="221"/>
      <c r="R6" s="227" t="s">
        <v>195</v>
      </c>
      <c r="S6" s="227"/>
      <c r="T6" s="227"/>
      <c r="U6" s="227"/>
      <c r="V6" s="227"/>
    </row>
    <row r="7" spans="2:23" ht="15" customHeight="1" x14ac:dyDescent="0.35">
      <c r="B7" s="175" t="s">
        <v>540</v>
      </c>
      <c r="C7" s="14"/>
      <c r="D7" s="14">
        <f>SUM('Cash Flow Statement'!H10:H15)</f>
        <v>192.01365674624023</v>
      </c>
      <c r="E7" s="14">
        <f>SUM('Cash Flow Statement'!I10:I15)</f>
        <v>-1226.8447753144667</v>
      </c>
      <c r="F7" s="14">
        <f>SUM('Cash Flow Statement'!J10:J15)</f>
        <v>-476.32717872902015</v>
      </c>
      <c r="G7" s="14">
        <f>SUM('Cash Flow Statement'!K10:K15)</f>
        <v>-512.80906123843533</v>
      </c>
      <c r="H7" s="14">
        <f>SUM('Cash Flow Statement'!L10:L15)</f>
        <v>-484.56879191521728</v>
      </c>
      <c r="I7" s="14">
        <f>SUM('Cash Flow Statement'!M10:M15)</f>
        <v>-378.9823199289998</v>
      </c>
      <c r="J7" s="14">
        <f>SUM('Cash Flow Statement'!N10:N15)</f>
        <v>-405.85882587028141</v>
      </c>
      <c r="K7" s="14">
        <f>SUM('Cash Flow Statement'!O10:O15)</f>
        <v>-288.02803232923759</v>
      </c>
      <c r="L7" s="14">
        <f>SUM('Cash Flow Statement'!P10:P15)</f>
        <v>-372.61072437558732</v>
      </c>
      <c r="M7" s="14">
        <f>SUM('Cash Flow Statement'!Q10:Q15)</f>
        <v>-366.95571767681531</v>
      </c>
      <c r="P7" s="225"/>
      <c r="Q7" s="214">
        <f>C21</f>
        <v>10858.865921873379</v>
      </c>
      <c r="R7" s="213">
        <v>0.14000000000000001</v>
      </c>
      <c r="S7" s="213">
        <v>0.15</v>
      </c>
      <c r="T7" s="219">
        <v>0.16708233393399699</v>
      </c>
      <c r="U7" s="213">
        <v>0.17</v>
      </c>
      <c r="V7" s="213">
        <v>0.18</v>
      </c>
    </row>
    <row r="8" spans="2:23" x14ac:dyDescent="0.35">
      <c r="B8" s="175" t="s">
        <v>271</v>
      </c>
      <c r="C8" s="14"/>
      <c r="D8" s="14">
        <f>'Cash Flow Statement'!H19</f>
        <v>-704.00983709490345</v>
      </c>
      <c r="E8" s="14">
        <f>'Cash Flow Statement'!I19</f>
        <v>-715.59742213319998</v>
      </c>
      <c r="F8" s="14">
        <f>'Cash Flow Statement'!J19</f>
        <v>-768.45601131755984</v>
      </c>
      <c r="G8" s="14">
        <f>'Cash Flow Statement'!K19</f>
        <v>-820.84166658551283</v>
      </c>
      <c r="H8" s="14">
        <f>'Cash Flow Statement'!L19</f>
        <v>-870.26457010234674</v>
      </c>
      <c r="I8" s="14">
        <f>'Cash Flow Statement'!M19</f>
        <v>-912.36403752115541</v>
      </c>
      <c r="J8" s="14">
        <f>'Cash Flow Statement'!N19</f>
        <v>-954.27270913264522</v>
      </c>
      <c r="K8" s="14">
        <f>'Cash Flow Statement'!O19</f>
        <v>-996.20373231149597</v>
      </c>
      <c r="L8" s="14">
        <f>'Cash Flow Statement'!P19</f>
        <v>-1035.1558453550631</v>
      </c>
      <c r="M8" s="14">
        <f>'Cash Flow Statement'!Q19</f>
        <v>-1073.5167932877446</v>
      </c>
      <c r="P8" s="225"/>
      <c r="Q8" s="213">
        <v>0.02</v>
      </c>
      <c r="R8" s="216">
        <f t="dataTable" ref="R8:V11" dt2D="1" dtr="1" r1="C15" r2="C16" ca="1"/>
        <v>12908.078205884227</v>
      </c>
      <c r="S8" s="217">
        <v>11808.812942690864</v>
      </c>
      <c r="T8" s="217">
        <v>10287.901578771738</v>
      </c>
      <c r="U8" s="217">
        <v>10064.056417298438</v>
      </c>
      <c r="V8" s="217">
        <v>9361.3042418482655</v>
      </c>
    </row>
    <row r="9" spans="2:23" x14ac:dyDescent="0.35">
      <c r="B9" s="175" t="s">
        <v>541</v>
      </c>
      <c r="D9" s="14">
        <f>-D5*Assumptions!D26</f>
        <v>0</v>
      </c>
      <c r="E9" s="14">
        <f>-E5*Assumptions!E26</f>
        <v>0</v>
      </c>
      <c r="F9" s="14">
        <f>-F5*Assumptions!F26</f>
        <v>0</v>
      </c>
      <c r="G9" s="14">
        <f>-G5*Assumptions!G26</f>
        <v>-181.84633189830006</v>
      </c>
      <c r="H9" s="14">
        <f>-H5*Assumptions!H26</f>
        <v>-194.28984272453528</v>
      </c>
      <c r="I9" s="14">
        <f>-I5*Assumptions!I26</f>
        <v>-219.35706947965576</v>
      </c>
      <c r="J9" s="14">
        <f>-J5*Assumptions!J26</f>
        <v>-764.77683742875934</v>
      </c>
      <c r="K9" s="14">
        <f>-K5*Assumptions!K26</f>
        <v>-855.40859607446737</v>
      </c>
      <c r="L9" s="14">
        <f>-L5*Assumptions!L26</f>
        <v>-888.85554196717089</v>
      </c>
      <c r="M9" s="14">
        <f>-M5*Assumptions!M26</f>
        <v>-921.79487310081493</v>
      </c>
      <c r="P9" s="225"/>
      <c r="Q9" s="213">
        <v>0.03</v>
      </c>
      <c r="R9" s="215">
        <v>13407.446023560289</v>
      </c>
      <c r="S9" s="14">
        <v>12199.413610994918</v>
      </c>
      <c r="T9" s="14">
        <v>10552.558151329757</v>
      </c>
      <c r="U9" s="14">
        <v>10312.510474515639</v>
      </c>
      <c r="V9" s="14">
        <v>9562.6714904489727</v>
      </c>
    </row>
    <row r="10" spans="2:23" x14ac:dyDescent="0.35">
      <c r="B10" s="90" t="s">
        <v>550</v>
      </c>
      <c r="C10" s="90"/>
      <c r="D10" s="91">
        <f t="shared" ref="D10:M10" si="0">SUM(D5:D9)</f>
        <v>1539.9675801907574</v>
      </c>
      <c r="E10" s="91">
        <f t="shared" si="0"/>
        <v>483.86380343843223</v>
      </c>
      <c r="F10" s="91">
        <f t="shared" si="0"/>
        <v>1536.5496106492119</v>
      </c>
      <c r="G10" s="91">
        <f t="shared" si="0"/>
        <v>1473.1004946552846</v>
      </c>
      <c r="H10" s="91">
        <f t="shared" si="0"/>
        <v>1640.7852938209928</v>
      </c>
      <c r="I10" s="91">
        <f t="shared" si="0"/>
        <v>2068.5802950667953</v>
      </c>
      <c r="J10" s="91">
        <f t="shared" si="0"/>
        <v>1622.4345460727404</v>
      </c>
      <c r="K10" s="91">
        <f t="shared" si="0"/>
        <v>2030.0410807024614</v>
      </c>
      <c r="L10" s="91">
        <f t="shared" si="0"/>
        <v>2041.9651405189372</v>
      </c>
      <c r="M10" s="91">
        <f t="shared" si="0"/>
        <v>2143.5723357904567</v>
      </c>
      <c r="P10" s="225"/>
      <c r="Q10" s="219">
        <v>0.04</v>
      </c>
      <c r="R10" s="215">
        <v>14006.687404771565</v>
      </c>
      <c r="S10" s="14">
        <v>12661.032582626984</v>
      </c>
      <c r="T10" s="218">
        <v>10858.865921873403</v>
      </c>
      <c r="U10" s="14">
        <v>10599.188232843177</v>
      </c>
      <c r="V10" s="14">
        <v>9792.8054888497827</v>
      </c>
    </row>
    <row r="11" spans="2:23" x14ac:dyDescent="0.35">
      <c r="B11" s="22" t="s">
        <v>551</v>
      </c>
      <c r="M11">
        <f>M10*(1+C16)/(C15-C16)</f>
        <v>17542.290578168893</v>
      </c>
      <c r="P11" s="225"/>
      <c r="Q11" s="213">
        <v>0.05</v>
      </c>
      <c r="R11" s="215">
        <v>14739.093537363122</v>
      </c>
      <c r="S11" s="14">
        <v>13214.97534858546</v>
      </c>
      <c r="T11" s="14">
        <v>11217.497174577271</v>
      </c>
      <c r="U11" s="14">
        <v>10933.645617558637</v>
      </c>
      <c r="V11" s="14">
        <v>10058.344717773791</v>
      </c>
    </row>
    <row r="12" spans="2:23" x14ac:dyDescent="0.35">
      <c r="B12" s="90" t="s">
        <v>549</v>
      </c>
      <c r="C12" s="90"/>
      <c r="D12" s="91">
        <f>SUM(D10:D11)</f>
        <v>1539.9675801907574</v>
      </c>
      <c r="E12" s="91">
        <f t="shared" ref="E12:M12" si="1">SUM(E10:E11)</f>
        <v>483.86380343843223</v>
      </c>
      <c r="F12" s="91">
        <f t="shared" si="1"/>
        <v>1536.5496106492119</v>
      </c>
      <c r="G12" s="91">
        <f t="shared" si="1"/>
        <v>1473.1004946552846</v>
      </c>
      <c r="H12" s="91">
        <f t="shared" si="1"/>
        <v>1640.7852938209928</v>
      </c>
      <c r="I12" s="91">
        <f t="shared" si="1"/>
        <v>2068.5802950667953</v>
      </c>
      <c r="J12" s="91">
        <f t="shared" si="1"/>
        <v>1622.4345460727404</v>
      </c>
      <c r="K12" s="91">
        <f t="shared" si="1"/>
        <v>2030.0410807024614</v>
      </c>
      <c r="L12" s="91">
        <f t="shared" si="1"/>
        <v>2041.9651405189372</v>
      </c>
      <c r="M12" s="91">
        <f t="shared" si="1"/>
        <v>19685.86291395935</v>
      </c>
    </row>
    <row r="14" spans="2:23" ht="16" x14ac:dyDescent="0.4">
      <c r="B14" t="s">
        <v>542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>
        <v>8</v>
      </c>
      <c r="L14">
        <v>9</v>
      </c>
      <c r="M14">
        <v>10</v>
      </c>
      <c r="P14" s="226" t="s">
        <v>566</v>
      </c>
      <c r="Q14" s="226"/>
      <c r="R14" s="226"/>
      <c r="S14" s="226"/>
      <c r="T14" s="226"/>
      <c r="U14" s="226"/>
      <c r="V14" s="226"/>
    </row>
    <row r="15" spans="2:23" x14ac:dyDescent="0.35">
      <c r="B15" t="s">
        <v>195</v>
      </c>
      <c r="C15" s="206">
        <f>'WACC Calculation'!J19</f>
        <v>0.16708233393399738</v>
      </c>
      <c r="P15" s="225" t="s">
        <v>564</v>
      </c>
      <c r="Q15" s="221"/>
      <c r="R15" s="227" t="s">
        <v>195</v>
      </c>
      <c r="S15" s="227"/>
      <c r="T15" s="227"/>
      <c r="U15" s="227"/>
      <c r="V15" s="227"/>
    </row>
    <row r="16" spans="2:23" x14ac:dyDescent="0.35">
      <c r="B16" t="s">
        <v>564</v>
      </c>
      <c r="C16" s="206">
        <f>Assumptions!D38</f>
        <v>0.04</v>
      </c>
      <c r="P16" s="225"/>
      <c r="Q16" s="214">
        <f>C26</f>
        <v>287.05560800144013</v>
      </c>
      <c r="R16" s="213">
        <v>0.14000000000000001</v>
      </c>
      <c r="S16" s="213">
        <v>0.15</v>
      </c>
      <c r="T16" s="219">
        <v>0.16708233393399699</v>
      </c>
      <c r="U16" s="213">
        <v>0.17</v>
      </c>
      <c r="V16" s="213">
        <v>0.18</v>
      </c>
    </row>
    <row r="17" spans="2:22" x14ac:dyDescent="0.35">
      <c r="P17" s="225"/>
      <c r="Q17" s="213">
        <v>0.02</v>
      </c>
      <c r="R17" s="216">
        <f t="dataTable" ref="R17:V20" dt2D="1" dtr="1" r1="C15" r2="C16"/>
        <v>354.70237435274345</v>
      </c>
      <c r="S17" s="217">
        <v>318.41441092525514</v>
      </c>
      <c r="T17" s="217">
        <v>268.2074428727766</v>
      </c>
      <c r="U17" s="217">
        <v>260.81806625464685</v>
      </c>
      <c r="V17" s="217">
        <v>237.61943886671131</v>
      </c>
    </row>
    <row r="18" spans="2:22" x14ac:dyDescent="0.35">
      <c r="B18" s="13" t="s">
        <v>552</v>
      </c>
      <c r="C18" s="13"/>
      <c r="D18" s="84">
        <f t="shared" ref="D18:M18" si="2">D12/(1+$C$15)^D14</f>
        <v>1319.5020911676727</v>
      </c>
      <c r="E18" s="84">
        <f t="shared" si="2"/>
        <v>355.23859562146458</v>
      </c>
      <c r="F18" s="84">
        <f t="shared" si="2"/>
        <v>966.58956263513562</v>
      </c>
      <c r="G18" s="84">
        <f t="shared" si="2"/>
        <v>794.01077223902223</v>
      </c>
      <c r="H18" s="84">
        <f t="shared" si="2"/>
        <v>757.78198906282125</v>
      </c>
      <c r="I18" s="84">
        <f t="shared" si="2"/>
        <v>818.58430226508528</v>
      </c>
      <c r="J18" s="84">
        <f t="shared" si="2"/>
        <v>550.11909335002633</v>
      </c>
      <c r="K18" s="84">
        <f t="shared" si="2"/>
        <v>589.78383465100899</v>
      </c>
      <c r="L18" s="84">
        <f t="shared" si="2"/>
        <v>508.31727205695546</v>
      </c>
      <c r="M18" s="84">
        <f t="shared" si="2"/>
        <v>4198.9384088241868</v>
      </c>
      <c r="P18" s="225"/>
      <c r="Q18" s="213">
        <v>0.03</v>
      </c>
      <c r="R18" s="215">
        <v>371.18705890654445</v>
      </c>
      <c r="S18" s="14">
        <v>331.30857145298279</v>
      </c>
      <c r="T18" s="14">
        <v>276.94404935657531</v>
      </c>
      <c r="U18" s="14">
        <v>269.01980976787104</v>
      </c>
      <c r="V18" s="14">
        <v>244.26679469371979</v>
      </c>
    </row>
    <row r="19" spans="2:22" x14ac:dyDescent="0.35">
      <c r="P19" s="225"/>
      <c r="Q19" s="219">
        <v>0.04</v>
      </c>
      <c r="R19" s="215">
        <v>390.96868037110562</v>
      </c>
      <c r="S19" s="14">
        <v>346.54712480393368</v>
      </c>
      <c r="T19" s="218">
        <v>287.05560800144087</v>
      </c>
      <c r="U19" s="14">
        <v>278.48335997543739</v>
      </c>
      <c r="V19" s="14">
        <v>251.86377278172952</v>
      </c>
    </row>
    <row r="20" spans="2:22" x14ac:dyDescent="0.35">
      <c r="E20" s="14"/>
      <c r="P20" s="225"/>
      <c r="Q20" s="213">
        <v>0.05</v>
      </c>
      <c r="R20" s="215">
        <v>415.14621771668033</v>
      </c>
      <c r="S20" s="14">
        <v>364.83338882507473</v>
      </c>
      <c r="T20" s="14">
        <v>298.89442272416454</v>
      </c>
      <c r="U20" s="14">
        <v>289.52416855093145</v>
      </c>
      <c r="V20" s="14">
        <v>260.62951672943296</v>
      </c>
    </row>
    <row r="21" spans="2:22" x14ac:dyDescent="0.35">
      <c r="B21" s="12" t="s">
        <v>553</v>
      </c>
      <c r="C21" s="152">
        <f>SUM(D18:M18)</f>
        <v>10858.865921873379</v>
      </c>
    </row>
    <row r="22" spans="2:22" x14ac:dyDescent="0.35">
      <c r="B22" s="11" t="s">
        <v>562</v>
      </c>
      <c r="C22" s="14">
        <f>'Balance Sheet'!G7</f>
        <v>506.54569800000002</v>
      </c>
    </row>
    <row r="23" spans="2:22" ht="15" customHeight="1" x14ac:dyDescent="0.35">
      <c r="B23" t="s">
        <v>563</v>
      </c>
      <c r="C23" s="14">
        <f>'Historical FS'!G69</f>
        <v>2669.6836518</v>
      </c>
    </row>
    <row r="24" spans="2:22" ht="15" customHeight="1" x14ac:dyDescent="0.35">
      <c r="B24" t="s">
        <v>554</v>
      </c>
      <c r="C24" s="14">
        <f>C21-C23+C22</f>
        <v>8695.7279680733791</v>
      </c>
    </row>
    <row r="25" spans="2:22" x14ac:dyDescent="0.35">
      <c r="B25" t="s">
        <v>555</v>
      </c>
      <c r="C25" s="14">
        <f>'Income Statement'!G38</f>
        <v>30.292834299999999</v>
      </c>
    </row>
    <row r="26" spans="2:22" ht="15" thickBot="1" x14ac:dyDescent="0.4">
      <c r="B26" s="131" t="s">
        <v>561</v>
      </c>
      <c r="C26" s="79">
        <f>C24/C25</f>
        <v>287.05560800144013</v>
      </c>
    </row>
  </sheetData>
  <mergeCells count="7">
    <mergeCell ref="B2:M2"/>
    <mergeCell ref="P6:P11"/>
    <mergeCell ref="P5:V5"/>
    <mergeCell ref="P15:P20"/>
    <mergeCell ref="P14:V14"/>
    <mergeCell ref="R15:V15"/>
    <mergeCell ref="R6:V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25879-E1DE-4EB1-BBCB-F53C76DDBFDD}">
  <dimension ref="B2:AB680"/>
  <sheetViews>
    <sheetView showGridLines="0" workbookViewId="0">
      <selection activeCell="K5" sqref="K5"/>
    </sheetView>
  </sheetViews>
  <sheetFormatPr defaultColWidth="8.7265625" defaultRowHeight="14.5" x14ac:dyDescent="0.35"/>
  <cols>
    <col min="1" max="1" width="2.1796875" style="23" customWidth="1"/>
    <col min="2" max="2" width="26.54296875" style="23" customWidth="1"/>
    <col min="3" max="3" width="11.54296875" style="23" customWidth="1"/>
    <col min="4" max="4" width="10.81640625" style="23" customWidth="1"/>
    <col min="5" max="5" width="11.1796875" style="23" customWidth="1"/>
    <col min="6" max="6" width="8.81640625" style="23" bestFit="1" customWidth="1"/>
    <col min="7" max="7" width="11.453125" style="23" customWidth="1"/>
    <col min="8" max="8" width="9" style="23" customWidth="1"/>
    <col min="9" max="9" width="23.81640625" style="23" customWidth="1"/>
    <col min="10" max="10" width="9.1796875" style="23" bestFit="1" customWidth="1"/>
    <col min="11" max="11" width="13.1796875" style="23" bestFit="1" customWidth="1"/>
    <col min="12" max="12" width="6.26953125" style="23" bestFit="1" customWidth="1"/>
    <col min="13" max="13" width="7.7265625" style="23" bestFit="1" customWidth="1"/>
    <col min="14" max="14" width="12.81640625" style="23" bestFit="1" customWidth="1"/>
    <col min="15" max="15" width="10.54296875" style="23" bestFit="1" customWidth="1"/>
    <col min="16" max="16" width="12" style="23" bestFit="1" customWidth="1"/>
    <col min="17" max="17" width="12.1796875" style="23" bestFit="1" customWidth="1"/>
    <col min="18" max="18" width="10.453125" style="23" bestFit="1" customWidth="1"/>
    <col min="19" max="19" width="11.81640625" style="23" bestFit="1" customWidth="1"/>
    <col min="20" max="20" width="12" style="23" bestFit="1" customWidth="1"/>
    <col min="21" max="16384" width="8.7265625" style="23"/>
  </cols>
  <sheetData>
    <row r="2" spans="2:10" ht="21" x14ac:dyDescent="0.5">
      <c r="B2" s="76" t="s">
        <v>180</v>
      </c>
      <c r="C2" s="77"/>
      <c r="D2" s="77"/>
      <c r="E2" s="77"/>
      <c r="F2" s="87"/>
      <c r="G2" s="87"/>
      <c r="H2" s="87"/>
      <c r="I2" s="87"/>
      <c r="J2" s="87"/>
    </row>
    <row r="3" spans="2:10" x14ac:dyDescent="0.35">
      <c r="B3" s="188" t="s">
        <v>183</v>
      </c>
      <c r="C3" s="189"/>
      <c r="D3" s="189"/>
      <c r="E3" s="189"/>
      <c r="F3" s="171"/>
      <c r="G3" s="188" t="s">
        <v>184</v>
      </c>
      <c r="H3" s="189"/>
      <c r="I3" s="189"/>
      <c r="J3" s="189"/>
    </row>
    <row r="4" spans="2:10" x14ac:dyDescent="0.35">
      <c r="B4" s="17"/>
      <c r="C4" s="2"/>
      <c r="D4" s="2"/>
      <c r="E4" s="2"/>
      <c r="F4" s="2"/>
      <c r="G4" s="17"/>
      <c r="H4" s="2"/>
      <c r="I4" s="2"/>
      <c r="J4" s="2"/>
    </row>
    <row r="5" spans="2:10" x14ac:dyDescent="0.35">
      <c r="B5" s="2" t="s">
        <v>185</v>
      </c>
      <c r="C5" s="2"/>
      <c r="D5" s="2"/>
      <c r="E5" s="194">
        <f>Assumptions!D54</f>
        <v>0.1192</v>
      </c>
      <c r="F5" s="2"/>
      <c r="G5" s="2" t="s">
        <v>186</v>
      </c>
      <c r="H5" s="2"/>
      <c r="I5" s="2"/>
      <c r="J5" s="193">
        <f>Assumptions!D35-Assumptions!D36</f>
        <v>2.2829512591955273E-2</v>
      </c>
    </row>
    <row r="6" spans="2:10" x14ac:dyDescent="0.35">
      <c r="B6" s="2" t="s">
        <v>173</v>
      </c>
      <c r="C6" s="2"/>
      <c r="D6" s="2"/>
      <c r="E6" s="195">
        <f>Assumptions!D48</f>
        <v>0.22500000000000001</v>
      </c>
      <c r="F6" s="2"/>
      <c r="G6" s="2" t="s">
        <v>187</v>
      </c>
      <c r="H6" s="2"/>
      <c r="I6" s="2"/>
      <c r="J6" s="193">
        <f>Assumptions!D37</f>
        <v>0.1235</v>
      </c>
    </row>
    <row r="7" spans="2:10" x14ac:dyDescent="0.35">
      <c r="B7" s="176" t="s">
        <v>188</v>
      </c>
      <c r="C7" s="176"/>
      <c r="D7" s="176"/>
      <c r="E7" s="196">
        <f>E5*(1-E6)</f>
        <v>9.2380000000000004E-2</v>
      </c>
      <c r="F7" s="2"/>
      <c r="G7" s="2" t="s">
        <v>545</v>
      </c>
      <c r="H7" s="2"/>
      <c r="I7" s="2"/>
      <c r="J7" s="177">
        <f>J34</f>
        <v>1.2961416794232017</v>
      </c>
    </row>
    <row r="8" spans="2:10" x14ac:dyDescent="0.35">
      <c r="B8" s="2"/>
      <c r="C8" s="2"/>
      <c r="D8" s="2"/>
      <c r="E8" s="2"/>
      <c r="F8" s="2"/>
      <c r="G8" s="176" t="s">
        <v>184</v>
      </c>
      <c r="H8" s="176"/>
      <c r="I8" s="176"/>
      <c r="J8" s="178">
        <f>J5+(J6*J7)</f>
        <v>0.18290301000072068</v>
      </c>
    </row>
    <row r="9" spans="2:10" x14ac:dyDescent="0.35">
      <c r="B9" s="2"/>
      <c r="C9" s="2"/>
      <c r="D9" s="2"/>
      <c r="E9" s="2"/>
      <c r="F9" s="2"/>
      <c r="G9" s="2"/>
      <c r="H9" s="2"/>
      <c r="I9" s="2"/>
      <c r="J9" s="2"/>
    </row>
    <row r="10" spans="2:10" x14ac:dyDescent="0.35">
      <c r="B10" s="2"/>
      <c r="C10" s="2"/>
      <c r="D10" s="2"/>
      <c r="E10" s="2"/>
      <c r="F10" s="2"/>
      <c r="G10" s="2"/>
      <c r="H10" s="2"/>
      <c r="I10" s="2"/>
      <c r="J10" s="2"/>
    </row>
    <row r="11" spans="2:10" x14ac:dyDescent="0.35">
      <c r="B11" s="188" t="s">
        <v>189</v>
      </c>
      <c r="C11" s="190"/>
      <c r="D11" s="189"/>
      <c r="E11" s="189"/>
      <c r="F11" s="171"/>
      <c r="G11" s="188" t="s">
        <v>180</v>
      </c>
      <c r="H11" s="189"/>
      <c r="I11" s="189"/>
      <c r="J11" s="189"/>
    </row>
    <row r="12" spans="2:10" x14ac:dyDescent="0.35">
      <c r="B12" s="2"/>
      <c r="D12" s="2"/>
      <c r="E12" s="2"/>
      <c r="F12" s="2"/>
      <c r="G12" s="17"/>
      <c r="H12" s="2"/>
      <c r="I12" s="2"/>
      <c r="J12" s="2"/>
    </row>
    <row r="13" spans="2:10" x14ac:dyDescent="0.35">
      <c r="B13" s="2"/>
      <c r="D13" s="197" t="s">
        <v>547</v>
      </c>
      <c r="E13" s="197" t="s">
        <v>190</v>
      </c>
      <c r="G13" s="23" t="s">
        <v>184</v>
      </c>
      <c r="J13" s="198">
        <f>J8</f>
        <v>0.18290301000072068</v>
      </c>
    </row>
    <row r="14" spans="2:10" x14ac:dyDescent="0.35">
      <c r="B14" s="2" t="s">
        <v>181</v>
      </c>
      <c r="D14" s="199">
        <f>'Historical FS'!G69</f>
        <v>2669.6836518</v>
      </c>
      <c r="E14" s="194">
        <f>D14/$D$16</f>
        <v>0.17476966427207116</v>
      </c>
      <c r="G14" s="23" t="s">
        <v>193</v>
      </c>
      <c r="J14" s="195">
        <f>E15</f>
        <v>0.82523033572792881</v>
      </c>
    </row>
    <row r="15" spans="2:10" x14ac:dyDescent="0.35">
      <c r="B15" s="2" t="s">
        <v>98</v>
      </c>
      <c r="D15" s="199">
        <f>Data!C9/10</f>
        <v>12605.757099999999</v>
      </c>
      <c r="E15" s="194">
        <f>D15/$D$16</f>
        <v>0.82523033572792881</v>
      </c>
      <c r="J15" s="198"/>
    </row>
    <row r="16" spans="2:10" x14ac:dyDescent="0.35">
      <c r="B16" s="2" t="s">
        <v>191</v>
      </c>
      <c r="D16" s="200">
        <f>SUM(D14:D15)</f>
        <v>15275.440751799999</v>
      </c>
      <c r="E16" s="201">
        <f>D16/$D$16</f>
        <v>1</v>
      </c>
      <c r="G16" s="23" t="s">
        <v>183</v>
      </c>
      <c r="J16" s="195">
        <f>E7</f>
        <v>9.2380000000000004E-2</v>
      </c>
    </row>
    <row r="17" spans="2:28" x14ac:dyDescent="0.35">
      <c r="B17" s="2"/>
      <c r="G17" s="23" t="s">
        <v>194</v>
      </c>
      <c r="J17" s="195">
        <f>E14</f>
        <v>0.17476966427207116</v>
      </c>
    </row>
    <row r="18" spans="2:28" x14ac:dyDescent="0.35">
      <c r="B18" s="18" t="s">
        <v>192</v>
      </c>
      <c r="C18" s="204"/>
      <c r="D18" s="204"/>
      <c r="E18" s="205">
        <f>E14/E15</f>
        <v>0.21178288861364786</v>
      </c>
    </row>
    <row r="19" spans="2:28" ht="15" thickBot="1" x14ac:dyDescent="0.4">
      <c r="B19" s="2"/>
      <c r="C19" s="2"/>
      <c r="G19" s="202" t="s">
        <v>195</v>
      </c>
      <c r="H19" s="202"/>
      <c r="I19" s="202"/>
      <c r="J19" s="203">
        <f>(J13*J14)+(J16*J17)</f>
        <v>0.16708233393399738</v>
      </c>
    </row>
    <row r="20" spans="2:28" x14ac:dyDescent="0.35">
      <c r="C20" s="2"/>
      <c r="D20" s="2"/>
      <c r="E20" s="2"/>
      <c r="F20" s="2"/>
    </row>
    <row r="21" spans="2:28" x14ac:dyDescent="0.35">
      <c r="C21" s="2"/>
      <c r="D21" s="2"/>
      <c r="E21" s="2"/>
      <c r="F21" s="2"/>
    </row>
    <row r="24" spans="2:28" x14ac:dyDescent="0.35">
      <c r="B24" s="191" t="s">
        <v>262</v>
      </c>
      <c r="C24" s="192"/>
      <c r="D24" s="192"/>
    </row>
    <row r="26" spans="2:28" x14ac:dyDescent="0.35">
      <c r="B26" s="228" t="s">
        <v>264</v>
      </c>
      <c r="C26" s="228"/>
      <c r="D26" s="228"/>
      <c r="F26" s="228" t="s">
        <v>263</v>
      </c>
      <c r="G26" s="228"/>
      <c r="I26" s="228" t="s">
        <v>234</v>
      </c>
      <c r="J26" s="228"/>
      <c r="U26" s="2"/>
      <c r="V26" s="2"/>
      <c r="W26" s="2"/>
      <c r="X26" s="2"/>
      <c r="Y26" s="2"/>
      <c r="Z26" s="2"/>
      <c r="AA26" s="2"/>
      <c r="AB26" s="2"/>
    </row>
    <row r="27" spans="2:28" x14ac:dyDescent="0.35">
      <c r="I27" s="2"/>
      <c r="J27" s="2"/>
      <c r="U27" s="2"/>
      <c r="V27" s="2"/>
      <c r="W27" s="2"/>
      <c r="X27" s="2"/>
      <c r="Y27" s="2"/>
      <c r="Z27" s="2"/>
      <c r="AA27" s="2"/>
      <c r="AB27" s="2"/>
    </row>
    <row r="28" spans="2:28" x14ac:dyDescent="0.35">
      <c r="B28" s="32" t="s">
        <v>231</v>
      </c>
      <c r="C28" s="32" t="s">
        <v>232</v>
      </c>
      <c r="D28" s="32" t="s">
        <v>233</v>
      </c>
      <c r="F28" s="32" t="s">
        <v>232</v>
      </c>
      <c r="G28" s="32" t="s">
        <v>233</v>
      </c>
      <c r="I28" s="19" t="s">
        <v>235</v>
      </c>
      <c r="J28" s="17">
        <f>J56</f>
        <v>1.4442125191348028</v>
      </c>
      <c r="U28" s="2"/>
      <c r="V28" s="2"/>
      <c r="W28" s="2"/>
      <c r="X28" s="2"/>
      <c r="Y28" s="2"/>
      <c r="Z28" s="2"/>
      <c r="AA28" s="2"/>
      <c r="AB28" s="2"/>
    </row>
    <row r="29" spans="2:28" x14ac:dyDescent="0.35">
      <c r="B29" s="179">
        <v>44136</v>
      </c>
      <c r="C29" s="2">
        <v>699.8</v>
      </c>
      <c r="D29" s="2"/>
      <c r="E29" s="2"/>
      <c r="F29" s="180">
        <v>4866.84</v>
      </c>
      <c r="G29" s="180"/>
      <c r="I29" s="2" t="s">
        <v>236</v>
      </c>
      <c r="J29" s="30">
        <f>2/3</f>
        <v>0.66666666666666663</v>
      </c>
      <c r="U29" s="2"/>
      <c r="V29" s="2"/>
      <c r="W29" s="2"/>
      <c r="X29" s="2"/>
      <c r="Y29" s="2"/>
      <c r="Z29" s="2"/>
      <c r="AA29" s="2"/>
      <c r="AB29" s="2"/>
    </row>
    <row r="30" spans="2:28" x14ac:dyDescent="0.35">
      <c r="B30" s="179">
        <v>44166</v>
      </c>
      <c r="C30" s="180">
        <v>1113.8</v>
      </c>
      <c r="D30" s="30">
        <f>C30/C29-1</f>
        <v>0.59159759931408984</v>
      </c>
      <c r="E30" s="2"/>
      <c r="F30" s="180">
        <v>5402.06</v>
      </c>
      <c r="G30" s="30">
        <f>F30/F29-1</f>
        <v>0.10997279548947581</v>
      </c>
      <c r="I30" s="2"/>
      <c r="J30" s="17"/>
      <c r="U30" s="2"/>
      <c r="V30" s="2"/>
      <c r="W30" s="2"/>
      <c r="X30" s="2"/>
      <c r="Y30" s="2"/>
      <c r="Z30" s="2"/>
      <c r="AA30" s="2"/>
      <c r="AB30" s="2"/>
    </row>
    <row r="31" spans="2:28" x14ac:dyDescent="0.35">
      <c r="B31" s="179">
        <v>44197</v>
      </c>
      <c r="C31" s="180">
        <v>1047.4000000000001</v>
      </c>
      <c r="D31" s="30">
        <f t="shared" ref="D31:D87" si="0">C31/C30-1</f>
        <v>-5.9615729933560679E-2</v>
      </c>
      <c r="E31" s="2"/>
      <c r="F31" s="180">
        <v>5649.86</v>
      </c>
      <c r="G31" s="30">
        <f t="shared" ref="G31:G87" si="1">F31/F30-1</f>
        <v>4.5871389803149087E-2</v>
      </c>
      <c r="I31" s="2" t="s">
        <v>237</v>
      </c>
      <c r="J31" s="17">
        <v>1</v>
      </c>
      <c r="U31" s="2"/>
      <c r="V31" s="2"/>
      <c r="W31" s="2"/>
      <c r="X31" s="2"/>
      <c r="Y31" s="2"/>
      <c r="Z31" s="2"/>
      <c r="AA31" s="2"/>
      <c r="AB31" s="2"/>
    </row>
    <row r="32" spans="2:28" x14ac:dyDescent="0.35">
      <c r="B32" s="179">
        <v>44228</v>
      </c>
      <c r="C32" s="180">
        <v>1220.5</v>
      </c>
      <c r="D32" s="30">
        <f t="shared" si="0"/>
        <v>0.16526637387817433</v>
      </c>
      <c r="E32" s="2"/>
      <c r="F32" s="180">
        <v>5404.79</v>
      </c>
      <c r="G32" s="30">
        <f t="shared" si="1"/>
        <v>-4.3376296049813523E-2</v>
      </c>
      <c r="I32" s="2" t="s">
        <v>238</v>
      </c>
      <c r="J32" s="30">
        <f>1/3</f>
        <v>0.33333333333333331</v>
      </c>
      <c r="U32" s="2"/>
      <c r="V32" s="2"/>
      <c r="W32" s="2"/>
      <c r="X32" s="2"/>
      <c r="Y32" s="2"/>
      <c r="Z32" s="2"/>
      <c r="AA32" s="2"/>
      <c r="AB32" s="2"/>
    </row>
    <row r="33" spans="2:28" x14ac:dyDescent="0.35">
      <c r="B33" s="179">
        <v>44256</v>
      </c>
      <c r="C33" s="180">
        <v>1192.9000000000001</v>
      </c>
      <c r="D33" s="30">
        <f t="shared" si="0"/>
        <v>-2.2613682916837297E-2</v>
      </c>
      <c r="E33" s="2"/>
      <c r="F33" s="180">
        <v>5278.16</v>
      </c>
      <c r="G33" s="30">
        <f t="shared" si="1"/>
        <v>-2.3429217416402914E-2</v>
      </c>
      <c r="I33" s="2"/>
      <c r="J33" s="2"/>
      <c r="U33" s="2"/>
      <c r="V33" s="2"/>
      <c r="W33" s="2"/>
      <c r="X33" s="2"/>
      <c r="Y33" s="2"/>
      <c r="Z33" s="2"/>
      <c r="AA33" s="2"/>
      <c r="AB33" s="2"/>
    </row>
    <row r="34" spans="2:28" x14ac:dyDescent="0.35">
      <c r="B34" s="179">
        <v>44287</v>
      </c>
      <c r="C34" s="180">
        <v>1190.0999999999999</v>
      </c>
      <c r="D34" s="30">
        <f t="shared" si="0"/>
        <v>-2.3472210579261743E-3</v>
      </c>
      <c r="E34" s="2"/>
      <c r="F34" s="180">
        <v>5479.61</v>
      </c>
      <c r="G34" s="30">
        <f t="shared" si="1"/>
        <v>3.8166709610925054E-2</v>
      </c>
      <c r="I34" s="181" t="s">
        <v>556</v>
      </c>
      <c r="J34" s="182">
        <f>(J28*J29)+(J31*J32)</f>
        <v>1.2961416794232017</v>
      </c>
      <c r="U34" s="2"/>
      <c r="V34" s="2"/>
      <c r="W34" s="2"/>
      <c r="X34" s="2"/>
      <c r="Y34" s="2"/>
      <c r="Z34" s="2"/>
      <c r="AA34" s="2"/>
      <c r="AB34" s="2"/>
    </row>
    <row r="35" spans="2:28" x14ac:dyDescent="0.35">
      <c r="B35" s="179">
        <v>44317</v>
      </c>
      <c r="C35" s="180">
        <v>1274</v>
      </c>
      <c r="D35" s="30">
        <f t="shared" si="0"/>
        <v>7.0498277455676162E-2</v>
      </c>
      <c r="E35" s="2"/>
      <c r="F35" s="180">
        <v>5990.98</v>
      </c>
      <c r="G35" s="30">
        <f t="shared" si="1"/>
        <v>9.3322334983694022E-2</v>
      </c>
      <c r="U35" s="2"/>
      <c r="V35" s="2"/>
      <c r="W35" s="2"/>
      <c r="X35" s="2"/>
      <c r="Y35" s="2"/>
      <c r="Z35" s="2"/>
      <c r="AA35" s="2"/>
      <c r="AB35" s="2"/>
    </row>
    <row r="36" spans="2:28" x14ac:dyDescent="0.35">
      <c r="B36" s="179">
        <v>44348</v>
      </c>
      <c r="C36" s="180">
        <v>1340</v>
      </c>
      <c r="D36" s="30">
        <f t="shared" si="0"/>
        <v>5.180533751962324E-2</v>
      </c>
      <c r="E36" s="2"/>
      <c r="F36" s="180">
        <v>6150.48</v>
      </c>
      <c r="G36" s="30">
        <f t="shared" si="1"/>
        <v>2.6623357113527257E-2</v>
      </c>
      <c r="U36" s="2"/>
      <c r="V36" s="2"/>
      <c r="W36" s="2"/>
      <c r="X36" s="2"/>
      <c r="Y36" s="2"/>
      <c r="Z36" s="2"/>
      <c r="AA36" s="2"/>
      <c r="AB36" s="2"/>
    </row>
    <row r="37" spans="2:28" x14ac:dyDescent="0.35">
      <c r="B37" s="179">
        <v>44378</v>
      </c>
      <c r="C37" s="180">
        <v>1397.3</v>
      </c>
      <c r="D37" s="30">
        <f t="shared" si="0"/>
        <v>4.276119402985068E-2</v>
      </c>
      <c r="E37" s="2"/>
      <c r="F37" s="180">
        <v>6425.25</v>
      </c>
      <c r="G37" s="30">
        <f t="shared" si="1"/>
        <v>4.4674561985406092E-2</v>
      </c>
      <c r="U37" s="2"/>
      <c r="V37" s="2"/>
      <c r="W37" s="2"/>
      <c r="X37" s="2"/>
      <c r="Y37" s="2"/>
      <c r="Z37" s="2"/>
      <c r="AA37" s="2"/>
      <c r="AB37" s="2"/>
    </row>
    <row r="38" spans="2:28" x14ac:dyDescent="0.35">
      <c r="B38" s="179">
        <v>44409</v>
      </c>
      <c r="C38" s="180">
        <v>1394.5</v>
      </c>
      <c r="D38" s="30">
        <f t="shared" si="0"/>
        <v>-2.0038645960065438E-3</v>
      </c>
      <c r="E38" s="2"/>
      <c r="F38" s="180">
        <v>6869.24</v>
      </c>
      <c r="G38" s="30">
        <f t="shared" si="1"/>
        <v>6.9100813197930044E-2</v>
      </c>
      <c r="U38" s="2"/>
      <c r="V38" s="2"/>
      <c r="W38" s="2"/>
      <c r="X38" s="2"/>
      <c r="Y38" s="2"/>
      <c r="Z38" s="2"/>
      <c r="AA38" s="2"/>
      <c r="AB38" s="2"/>
    </row>
    <row r="39" spans="2:28" x14ac:dyDescent="0.35">
      <c r="B39" s="179">
        <v>44440</v>
      </c>
      <c r="C39" s="180">
        <v>1276.0999999999999</v>
      </c>
      <c r="D39" s="30">
        <f t="shared" si="0"/>
        <v>-8.4904983865184747E-2</v>
      </c>
      <c r="E39" s="2"/>
      <c r="F39" s="180">
        <v>7329.03</v>
      </c>
      <c r="G39" s="30">
        <f t="shared" si="1"/>
        <v>6.6934624499944695E-2</v>
      </c>
      <c r="I39" s="2" t="s">
        <v>239</v>
      </c>
      <c r="J39" s="2"/>
      <c r="K39" s="2"/>
      <c r="L39" s="2"/>
      <c r="M39" s="2"/>
      <c r="N39" s="2"/>
      <c r="O39" s="2"/>
      <c r="P39" s="2"/>
      <c r="Q39" s="2"/>
      <c r="U39" s="2"/>
      <c r="V39" s="2"/>
      <c r="W39" s="2"/>
      <c r="X39" s="2"/>
      <c r="Y39" s="2"/>
      <c r="Z39" s="2"/>
      <c r="AA39" s="2"/>
      <c r="AB39" s="2"/>
    </row>
    <row r="40" spans="2:28" ht="15" thickBot="1" x14ac:dyDescent="0.4">
      <c r="B40" s="179">
        <v>44470</v>
      </c>
      <c r="C40" s="180">
        <v>1165.7</v>
      </c>
      <c r="D40" s="30">
        <f t="shared" si="0"/>
        <v>-8.6513596113157121E-2</v>
      </c>
      <c r="E40" s="2"/>
      <c r="F40" s="180">
        <v>7000.94</v>
      </c>
      <c r="G40" s="30">
        <f t="shared" si="1"/>
        <v>-4.476581484862252E-2</v>
      </c>
      <c r="I40" s="2"/>
      <c r="J40" s="2"/>
      <c r="K40" s="2"/>
      <c r="L40" s="2"/>
      <c r="M40" s="2"/>
      <c r="N40" s="2"/>
      <c r="O40" s="2"/>
      <c r="P40" s="2"/>
      <c r="Q40" s="2"/>
      <c r="U40" s="2"/>
      <c r="V40" s="2"/>
      <c r="W40" s="2"/>
      <c r="X40" s="2"/>
      <c r="Y40" s="2"/>
      <c r="Z40" s="2"/>
      <c r="AA40" s="2"/>
      <c r="AB40" s="2"/>
    </row>
    <row r="41" spans="2:28" x14ac:dyDescent="0.35">
      <c r="B41" s="179">
        <v>44501</v>
      </c>
      <c r="C41" s="180">
        <v>1102.7</v>
      </c>
      <c r="D41" s="30">
        <f t="shared" si="0"/>
        <v>-5.4044779960538691E-2</v>
      </c>
      <c r="E41" s="2"/>
      <c r="F41" s="180">
        <v>6703.25</v>
      </c>
      <c r="G41" s="30">
        <f t="shared" si="1"/>
        <v>-4.2521432836161943E-2</v>
      </c>
      <c r="I41" s="183" t="s">
        <v>240</v>
      </c>
      <c r="J41" s="183"/>
      <c r="K41" s="2"/>
      <c r="L41" s="2"/>
      <c r="M41" s="2"/>
      <c r="N41" s="2"/>
      <c r="O41" s="2"/>
      <c r="P41" s="2"/>
      <c r="Q41" s="2"/>
      <c r="U41" s="2"/>
      <c r="V41" s="2"/>
      <c r="W41" s="2"/>
      <c r="X41" s="2"/>
      <c r="Y41" s="2"/>
      <c r="Z41" s="2"/>
      <c r="AA41" s="2"/>
      <c r="AB41" s="2"/>
    </row>
    <row r="42" spans="2:28" x14ac:dyDescent="0.35">
      <c r="B42" s="179">
        <v>44531</v>
      </c>
      <c r="C42" s="180">
        <v>1148.8</v>
      </c>
      <c r="D42" s="30">
        <f t="shared" si="0"/>
        <v>4.1806475015869982E-2</v>
      </c>
      <c r="E42" s="2"/>
      <c r="F42" s="180">
        <v>6756.65</v>
      </c>
      <c r="G42" s="30">
        <f t="shared" si="1"/>
        <v>7.96628501100205E-3</v>
      </c>
      <c r="I42" s="2" t="s">
        <v>241</v>
      </c>
      <c r="J42" s="184">
        <v>0.54319181148949036</v>
      </c>
      <c r="K42" s="2"/>
      <c r="L42" s="2"/>
      <c r="M42" s="2"/>
      <c r="N42" s="2"/>
      <c r="O42" s="2"/>
      <c r="P42" s="2"/>
      <c r="Q42" s="2"/>
      <c r="U42" s="2"/>
      <c r="V42" s="2"/>
      <c r="W42" s="2"/>
      <c r="X42" s="2"/>
      <c r="Y42" s="2"/>
      <c r="Z42" s="2"/>
      <c r="AA42" s="2"/>
      <c r="AB42" s="2"/>
    </row>
    <row r="43" spans="2:28" x14ac:dyDescent="0.35">
      <c r="B43" s="179">
        <v>44562</v>
      </c>
      <c r="C43" s="180">
        <v>1061.5</v>
      </c>
      <c r="D43" s="30">
        <f t="shared" si="0"/>
        <v>-7.5992339832869016E-2</v>
      </c>
      <c r="E43" s="2"/>
      <c r="F43" s="180">
        <v>6926.29</v>
      </c>
      <c r="G43" s="30">
        <f t="shared" si="1"/>
        <v>2.5107116692443698E-2</v>
      </c>
      <c r="I43" s="2" t="s">
        <v>242</v>
      </c>
      <c r="J43" s="184">
        <v>0.29505734406923406</v>
      </c>
      <c r="K43" s="2"/>
      <c r="L43" s="2"/>
      <c r="M43" s="2"/>
      <c r="N43" s="2"/>
      <c r="O43" s="2"/>
      <c r="P43" s="2"/>
      <c r="Q43" s="2"/>
      <c r="U43" s="2"/>
      <c r="V43" s="2"/>
      <c r="W43" s="2"/>
      <c r="X43" s="2"/>
      <c r="Y43" s="2"/>
      <c r="Z43" s="2"/>
      <c r="AA43" s="2"/>
      <c r="AB43" s="2"/>
    </row>
    <row r="44" spans="2:28" x14ac:dyDescent="0.35">
      <c r="B44" s="179">
        <v>44593</v>
      </c>
      <c r="C44" s="180">
        <v>1107.2</v>
      </c>
      <c r="D44" s="30">
        <f t="shared" si="0"/>
        <v>4.3052284503061644E-2</v>
      </c>
      <c r="E44" s="2"/>
      <c r="F44" s="180">
        <v>6739.44</v>
      </c>
      <c r="G44" s="30">
        <f t="shared" si="1"/>
        <v>-2.6976924154200943E-2</v>
      </c>
      <c r="I44" s="2" t="s">
        <v>243</v>
      </c>
      <c r="J44" s="184">
        <v>0.28246908235618468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2:28" x14ac:dyDescent="0.35">
      <c r="B45" s="179">
        <v>44621</v>
      </c>
      <c r="C45" s="180">
        <v>1076.0999999999999</v>
      </c>
      <c r="D45" s="30">
        <f t="shared" si="0"/>
        <v>-2.8088872832370049E-2</v>
      </c>
      <c r="E45" s="2"/>
      <c r="F45" s="180">
        <v>6757.83</v>
      </c>
      <c r="G45" s="30">
        <f t="shared" si="1"/>
        <v>2.7287133649087636E-3</v>
      </c>
      <c r="I45" s="2" t="s">
        <v>244</v>
      </c>
      <c r="J45" s="184">
        <v>9.6931742884927688E-2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2:28" ht="15" thickBot="1" x14ac:dyDescent="0.4">
      <c r="B46" s="179">
        <v>44652</v>
      </c>
      <c r="C46" s="180">
        <v>1162.4000000000001</v>
      </c>
      <c r="D46" s="30">
        <f t="shared" si="0"/>
        <v>8.019700771303806E-2</v>
      </c>
      <c r="E46" s="2"/>
      <c r="F46" s="180">
        <v>6655.66</v>
      </c>
      <c r="G46" s="30">
        <f t="shared" si="1"/>
        <v>-1.5118758536394106E-2</v>
      </c>
      <c r="I46" s="185" t="s">
        <v>245</v>
      </c>
      <c r="J46" s="185">
        <v>58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2:28" x14ac:dyDescent="0.35">
      <c r="B47" s="179">
        <v>44682</v>
      </c>
      <c r="C47" s="180">
        <v>1075.5</v>
      </c>
      <c r="D47" s="30">
        <f t="shared" si="0"/>
        <v>-7.4759119064005564E-2</v>
      </c>
      <c r="E47" s="2"/>
      <c r="F47" s="180">
        <v>6392.85</v>
      </c>
      <c r="G47" s="30">
        <f t="shared" si="1"/>
        <v>-3.9486692529365874E-2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2:28" ht="15" thickBot="1" x14ac:dyDescent="0.4">
      <c r="B48" s="179">
        <v>44713</v>
      </c>
      <c r="C48" s="180">
        <v>1093.9000000000001</v>
      </c>
      <c r="D48" s="30">
        <f t="shared" si="0"/>
        <v>1.7108321710832319E-2</v>
      </c>
      <c r="E48" s="2"/>
      <c r="F48" s="180">
        <v>6376.94</v>
      </c>
      <c r="G48" s="30">
        <f t="shared" si="1"/>
        <v>-2.4887178644893426E-3</v>
      </c>
      <c r="I48" s="2" t="s">
        <v>246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2:17" x14ac:dyDescent="0.35">
      <c r="B49" s="179">
        <v>44743</v>
      </c>
      <c r="C49" s="180">
        <v>1050.0999999999999</v>
      </c>
      <c r="D49" s="30">
        <f t="shared" si="0"/>
        <v>-4.0040223055124002E-2</v>
      </c>
      <c r="E49" s="2"/>
      <c r="F49" s="180">
        <v>6133.96</v>
      </c>
      <c r="G49" s="30">
        <f t="shared" si="1"/>
        <v>-3.810291456403847E-2</v>
      </c>
      <c r="I49" s="186"/>
      <c r="J49" s="186" t="s">
        <v>250</v>
      </c>
      <c r="K49" s="186" t="s">
        <v>251</v>
      </c>
      <c r="L49" s="186" t="s">
        <v>252</v>
      </c>
      <c r="M49" s="186" t="s">
        <v>253</v>
      </c>
      <c r="N49" s="186" t="s">
        <v>254</v>
      </c>
      <c r="O49" s="2"/>
      <c r="P49" s="2"/>
      <c r="Q49" s="2"/>
    </row>
    <row r="50" spans="2:17" x14ac:dyDescent="0.35">
      <c r="B50" s="179">
        <v>44774</v>
      </c>
      <c r="C50" s="180">
        <v>1047.9000000000001</v>
      </c>
      <c r="D50" s="30">
        <f t="shared" si="0"/>
        <v>-2.0950385677552807E-3</v>
      </c>
      <c r="E50" s="2"/>
      <c r="F50" s="180">
        <v>6457.22</v>
      </c>
      <c r="G50" s="30">
        <f t="shared" si="1"/>
        <v>5.2700050212260985E-2</v>
      </c>
      <c r="I50" s="2" t="s">
        <v>247</v>
      </c>
      <c r="J50" s="2">
        <v>1</v>
      </c>
      <c r="K50" s="184">
        <v>0.22022808821307049</v>
      </c>
      <c r="L50" s="184">
        <v>0.22022808821307049</v>
      </c>
      <c r="M50" s="184">
        <v>23.43908561762489</v>
      </c>
      <c r="N50" s="184">
        <v>1.0540775080757609E-5</v>
      </c>
      <c r="O50" s="2"/>
      <c r="P50" s="2"/>
      <c r="Q50" s="2"/>
    </row>
    <row r="51" spans="2:17" x14ac:dyDescent="0.35">
      <c r="B51" s="179">
        <v>44805</v>
      </c>
      <c r="C51" s="180">
        <v>1047.7</v>
      </c>
      <c r="D51" s="30">
        <f t="shared" si="0"/>
        <v>-1.908579062888105E-4</v>
      </c>
      <c r="E51" s="2"/>
      <c r="F51" s="180">
        <v>6515.11</v>
      </c>
      <c r="G51" s="30">
        <f t="shared" si="1"/>
        <v>8.9651583808512125E-3</v>
      </c>
      <c r="I51" s="2" t="s">
        <v>248</v>
      </c>
      <c r="J51" s="2">
        <v>56</v>
      </c>
      <c r="K51" s="184">
        <v>0.52616271560774486</v>
      </c>
      <c r="L51" s="184">
        <v>9.3957627787097289E-3</v>
      </c>
      <c r="M51" s="184"/>
      <c r="N51" s="184"/>
      <c r="O51" s="2"/>
      <c r="P51" s="2"/>
      <c r="Q51" s="2"/>
    </row>
    <row r="52" spans="2:17" ht="15" thickBot="1" x14ac:dyDescent="0.4">
      <c r="B52" s="179">
        <v>44835</v>
      </c>
      <c r="C52" s="180">
        <v>1047.7</v>
      </c>
      <c r="D52" s="30">
        <f t="shared" si="0"/>
        <v>0</v>
      </c>
      <c r="E52" s="2"/>
      <c r="F52" s="180">
        <v>6307.34</v>
      </c>
      <c r="G52" s="30">
        <f t="shared" si="1"/>
        <v>-3.1890482278887022E-2</v>
      </c>
      <c r="I52" s="185" t="s">
        <v>145</v>
      </c>
      <c r="J52" s="185">
        <v>57</v>
      </c>
      <c r="K52" s="187">
        <v>0.74639080382081535</v>
      </c>
      <c r="L52" s="187"/>
      <c r="M52" s="187"/>
      <c r="N52" s="187"/>
      <c r="O52" s="2"/>
      <c r="P52" s="2"/>
      <c r="Q52" s="2"/>
    </row>
    <row r="53" spans="2:17" ht="15" thickBot="1" x14ac:dyDescent="0.4">
      <c r="B53" s="179">
        <v>44866</v>
      </c>
      <c r="C53" s="180">
        <v>1047.7</v>
      </c>
      <c r="D53" s="30">
        <f t="shared" si="0"/>
        <v>0</v>
      </c>
      <c r="E53" s="2"/>
      <c r="F53" s="180">
        <v>6235.95</v>
      </c>
      <c r="G53" s="30">
        <f t="shared" si="1"/>
        <v>-1.1318559012198581E-2</v>
      </c>
      <c r="I53" s="2"/>
      <c r="J53" s="2"/>
      <c r="K53" s="2"/>
      <c r="L53" s="2"/>
      <c r="M53" s="2"/>
      <c r="N53" s="2"/>
      <c r="O53" s="2"/>
      <c r="P53" s="2"/>
      <c r="Q53" s="2"/>
    </row>
    <row r="54" spans="2:17" x14ac:dyDescent="0.35">
      <c r="B54" s="179">
        <v>44896</v>
      </c>
      <c r="C54" s="180">
        <v>1047.7</v>
      </c>
      <c r="D54" s="30">
        <f t="shared" si="0"/>
        <v>0</v>
      </c>
      <c r="E54" s="2"/>
      <c r="F54" s="180">
        <v>6206.81</v>
      </c>
      <c r="G54" s="30">
        <f t="shared" si="1"/>
        <v>-4.6729046897424631E-3</v>
      </c>
      <c r="I54" s="186"/>
      <c r="J54" s="186" t="s">
        <v>255</v>
      </c>
      <c r="K54" s="186" t="s">
        <v>244</v>
      </c>
      <c r="L54" s="186" t="s">
        <v>256</v>
      </c>
      <c r="M54" s="186" t="s">
        <v>257</v>
      </c>
      <c r="N54" s="186" t="s">
        <v>258</v>
      </c>
      <c r="O54" s="186" t="s">
        <v>259</v>
      </c>
      <c r="P54" s="186" t="s">
        <v>260</v>
      </c>
      <c r="Q54" s="186" t="s">
        <v>261</v>
      </c>
    </row>
    <row r="55" spans="2:17" x14ac:dyDescent="0.35">
      <c r="B55" s="179">
        <v>44927</v>
      </c>
      <c r="C55" s="180">
        <v>1047.7</v>
      </c>
      <c r="D55" s="30">
        <f t="shared" si="0"/>
        <v>0</v>
      </c>
      <c r="E55" s="2"/>
      <c r="F55" s="180">
        <v>6267.05</v>
      </c>
      <c r="G55" s="30">
        <f t="shared" si="1"/>
        <v>9.7054686707018778E-3</v>
      </c>
      <c r="I55" s="2" t="s">
        <v>249</v>
      </c>
      <c r="J55" s="184">
        <v>-7.0213653867325244E-3</v>
      </c>
      <c r="K55" s="184">
        <v>1.2753877430255639E-2</v>
      </c>
      <c r="L55" s="184">
        <v>-0.55052790221081715</v>
      </c>
      <c r="M55" s="184">
        <v>0.58414688348325972</v>
      </c>
      <c r="N55" s="184">
        <v>-3.2570451978215488E-2</v>
      </c>
      <c r="O55" s="184">
        <v>1.8527721204750443E-2</v>
      </c>
      <c r="P55" s="184">
        <v>-3.2570451978215488E-2</v>
      </c>
      <c r="Q55" s="184">
        <v>1.8527721204750443E-2</v>
      </c>
    </row>
    <row r="56" spans="2:17" ht="15" thickBot="1" x14ac:dyDescent="0.4">
      <c r="B56" s="179">
        <v>44958</v>
      </c>
      <c r="C56" s="180">
        <v>1047.7</v>
      </c>
      <c r="D56" s="30">
        <f t="shared" si="0"/>
        <v>0</v>
      </c>
      <c r="E56" s="2"/>
      <c r="F56" s="180">
        <v>6216.95</v>
      </c>
      <c r="G56" s="30">
        <f t="shared" si="1"/>
        <v>-7.994191844647891E-3</v>
      </c>
      <c r="I56" s="185" t="s">
        <v>265</v>
      </c>
      <c r="J56" s="187">
        <v>1.4442125191348028</v>
      </c>
      <c r="K56" s="187">
        <v>0.29830516474786589</v>
      </c>
      <c r="L56" s="187">
        <v>4.8413929418737451</v>
      </c>
      <c r="M56" s="187">
        <v>1.0540775080757528E-5</v>
      </c>
      <c r="N56" s="187">
        <v>0.8466354664692548</v>
      </c>
      <c r="O56" s="187">
        <v>2.0417895718003507</v>
      </c>
      <c r="P56" s="187">
        <v>0.8466354664692548</v>
      </c>
      <c r="Q56" s="187">
        <v>2.0417895718003507</v>
      </c>
    </row>
    <row r="57" spans="2:17" x14ac:dyDescent="0.35">
      <c r="B57" s="179">
        <v>44986</v>
      </c>
      <c r="C57" s="180">
        <v>1047.7</v>
      </c>
      <c r="D57" s="30">
        <f t="shared" si="0"/>
        <v>0</v>
      </c>
      <c r="E57" s="2"/>
      <c r="F57" s="180">
        <v>6206.8</v>
      </c>
      <c r="G57" s="30">
        <f t="shared" si="1"/>
        <v>-1.6326333652353364E-3</v>
      </c>
    </row>
    <row r="58" spans="2:17" x14ac:dyDescent="0.35">
      <c r="B58" s="179">
        <v>45017</v>
      </c>
      <c r="C58" s="180">
        <v>1047.7</v>
      </c>
      <c r="D58" s="30">
        <f t="shared" si="0"/>
        <v>0</v>
      </c>
      <c r="E58" s="2"/>
      <c r="F58" s="180">
        <v>6262.69</v>
      </c>
      <c r="G58" s="30">
        <f t="shared" si="1"/>
        <v>9.0046400721788267E-3</v>
      </c>
    </row>
    <row r="59" spans="2:17" x14ac:dyDescent="0.35">
      <c r="B59" s="179">
        <v>45047</v>
      </c>
      <c r="C59" s="180">
        <v>1047.7</v>
      </c>
      <c r="D59" s="30">
        <f t="shared" si="0"/>
        <v>0</v>
      </c>
      <c r="E59" s="2"/>
      <c r="F59" s="180">
        <v>6339.74</v>
      </c>
      <c r="G59" s="30">
        <f t="shared" si="1"/>
        <v>1.2303019948296967E-2</v>
      </c>
    </row>
    <row r="60" spans="2:17" x14ac:dyDescent="0.35">
      <c r="B60" s="179">
        <v>45078</v>
      </c>
      <c r="C60" s="180">
        <v>1047.7</v>
      </c>
      <c r="D60" s="30">
        <f t="shared" si="0"/>
        <v>0</v>
      </c>
      <c r="E60" s="2"/>
      <c r="F60" s="180">
        <v>6344.09</v>
      </c>
      <c r="G60" s="30">
        <f t="shared" si="1"/>
        <v>6.8614801237920631E-4</v>
      </c>
    </row>
    <row r="61" spans="2:17" x14ac:dyDescent="0.35">
      <c r="B61" s="179">
        <v>45108</v>
      </c>
      <c r="C61" s="180">
        <v>1047.7</v>
      </c>
      <c r="D61" s="30">
        <f t="shared" si="0"/>
        <v>0</v>
      </c>
      <c r="E61" s="2"/>
      <c r="F61" s="180">
        <v>6324.81</v>
      </c>
      <c r="G61" s="30">
        <f t="shared" si="1"/>
        <v>-3.0390489416133315E-3</v>
      </c>
    </row>
    <row r="62" spans="2:17" x14ac:dyDescent="0.35">
      <c r="B62" s="179">
        <v>45139</v>
      </c>
      <c r="C62" s="180">
        <v>1047.7</v>
      </c>
      <c r="D62" s="30">
        <f t="shared" si="0"/>
        <v>0</v>
      </c>
      <c r="E62" s="2"/>
      <c r="F62" s="180">
        <v>6299.5</v>
      </c>
      <c r="G62" s="30">
        <f t="shared" si="1"/>
        <v>-4.0017012368751548E-3</v>
      </c>
    </row>
    <row r="63" spans="2:17" x14ac:dyDescent="0.35">
      <c r="B63" s="179">
        <v>45170</v>
      </c>
      <c r="C63" s="180">
        <v>1047.7</v>
      </c>
      <c r="D63" s="30">
        <f t="shared" si="0"/>
        <v>0</v>
      </c>
      <c r="E63" s="2"/>
      <c r="F63" s="180">
        <v>6284.63</v>
      </c>
      <c r="G63" s="30">
        <f t="shared" si="1"/>
        <v>-2.3605048019683661E-3</v>
      </c>
    </row>
    <row r="64" spans="2:17" x14ac:dyDescent="0.35">
      <c r="B64" s="179">
        <v>45200</v>
      </c>
      <c r="C64" s="180">
        <v>1047.7</v>
      </c>
      <c r="D64" s="30">
        <f t="shared" si="0"/>
        <v>0</v>
      </c>
      <c r="E64" s="2"/>
      <c r="F64" s="180">
        <v>6278.66</v>
      </c>
      <c r="G64" s="30">
        <f t="shared" si="1"/>
        <v>-9.4993659133479902E-4</v>
      </c>
    </row>
    <row r="65" spans="2:7" x14ac:dyDescent="0.35">
      <c r="B65" s="179">
        <v>45231</v>
      </c>
      <c r="C65" s="180">
        <v>1047.7</v>
      </c>
      <c r="D65" s="30">
        <f t="shared" si="0"/>
        <v>0</v>
      </c>
      <c r="E65" s="2"/>
      <c r="F65" s="180">
        <v>6223.03</v>
      </c>
      <c r="G65" s="30">
        <f t="shared" si="1"/>
        <v>-8.8601708007759461E-3</v>
      </c>
    </row>
    <row r="66" spans="2:7" x14ac:dyDescent="0.35">
      <c r="B66" s="179">
        <v>45261</v>
      </c>
      <c r="C66" s="180">
        <v>1047.7</v>
      </c>
      <c r="D66" s="30">
        <f t="shared" si="0"/>
        <v>0</v>
      </c>
      <c r="E66" s="2"/>
      <c r="F66" s="180">
        <v>6246.5</v>
      </c>
      <c r="G66" s="30">
        <f t="shared" si="1"/>
        <v>3.7714746674850641E-3</v>
      </c>
    </row>
    <row r="67" spans="2:7" x14ac:dyDescent="0.35">
      <c r="B67" s="179">
        <v>45292</v>
      </c>
      <c r="C67" s="2">
        <v>752.8</v>
      </c>
      <c r="D67" s="30">
        <f t="shared" si="0"/>
        <v>-0.28147370430466745</v>
      </c>
      <c r="E67" s="2"/>
      <c r="F67" s="180">
        <v>6153.34</v>
      </c>
      <c r="G67" s="30">
        <f t="shared" si="1"/>
        <v>-1.4913951813015247E-2</v>
      </c>
    </row>
    <row r="68" spans="2:7" x14ac:dyDescent="0.35">
      <c r="B68" s="179">
        <v>45323</v>
      </c>
      <c r="C68" s="2">
        <v>745.5</v>
      </c>
      <c r="D68" s="30">
        <f t="shared" si="0"/>
        <v>-9.6971307120083949E-3</v>
      </c>
      <c r="E68" s="2"/>
      <c r="F68" s="180">
        <v>6254.54</v>
      </c>
      <c r="G68" s="30">
        <f t="shared" si="1"/>
        <v>1.6446352712510492E-2</v>
      </c>
    </row>
    <row r="69" spans="2:7" x14ac:dyDescent="0.35">
      <c r="B69" s="179">
        <v>45352</v>
      </c>
      <c r="C69" s="2">
        <v>650</v>
      </c>
      <c r="D69" s="30">
        <f t="shared" si="0"/>
        <v>-0.12810194500335348</v>
      </c>
      <c r="E69" s="2"/>
      <c r="F69" s="180">
        <v>5829.7</v>
      </c>
      <c r="G69" s="30">
        <f t="shared" si="1"/>
        <v>-6.7925059236970342E-2</v>
      </c>
    </row>
    <row r="70" spans="2:7" x14ac:dyDescent="0.35">
      <c r="B70" s="179">
        <v>45383</v>
      </c>
      <c r="C70" s="2">
        <v>610.6</v>
      </c>
      <c r="D70" s="30">
        <f t="shared" si="0"/>
        <v>-6.0615384615384627E-2</v>
      </c>
      <c r="E70" s="2"/>
      <c r="F70" s="180">
        <v>5584.65</v>
      </c>
      <c r="G70" s="30">
        <f t="shared" si="1"/>
        <v>-4.2034753074772335E-2</v>
      </c>
    </row>
    <row r="71" spans="2:7" x14ac:dyDescent="0.35">
      <c r="B71" s="179">
        <v>45413</v>
      </c>
      <c r="C71" s="2">
        <v>514.29999999999995</v>
      </c>
      <c r="D71" s="30">
        <f t="shared" si="0"/>
        <v>-0.1577137242056994</v>
      </c>
      <c r="E71" s="2"/>
      <c r="F71" s="180">
        <v>5251.96</v>
      </c>
      <c r="G71" s="30">
        <f t="shared" si="1"/>
        <v>-5.9572220282381072E-2</v>
      </c>
    </row>
    <row r="72" spans="2:7" x14ac:dyDescent="0.35">
      <c r="B72" s="179">
        <v>45444</v>
      </c>
      <c r="C72" s="2">
        <v>649.4</v>
      </c>
      <c r="D72" s="30">
        <f t="shared" si="0"/>
        <v>0.26268714757923406</v>
      </c>
      <c r="E72" s="2"/>
      <c r="F72" s="180">
        <v>5328.4</v>
      </c>
      <c r="G72" s="30">
        <f t="shared" si="1"/>
        <v>1.455456629524976E-2</v>
      </c>
    </row>
    <row r="73" spans="2:7" x14ac:dyDescent="0.35">
      <c r="B73" s="179">
        <v>45474</v>
      </c>
      <c r="C73" s="2">
        <v>599.1</v>
      </c>
      <c r="D73" s="30">
        <f t="shared" si="0"/>
        <v>-7.7456113335386489E-2</v>
      </c>
      <c r="E73" s="2"/>
      <c r="F73" s="180">
        <v>5280.47</v>
      </c>
      <c r="G73" s="30">
        <f t="shared" si="1"/>
        <v>-8.9951955558891239E-3</v>
      </c>
    </row>
    <row r="74" spans="2:7" x14ac:dyDescent="0.35">
      <c r="B74" s="179">
        <v>45505</v>
      </c>
      <c r="C74" s="2">
        <v>696.9</v>
      </c>
      <c r="D74" s="30">
        <f t="shared" si="0"/>
        <v>0.16324486730095145</v>
      </c>
      <c r="E74" s="2"/>
      <c r="F74" s="180">
        <v>5804.42</v>
      </c>
      <c r="G74" s="30">
        <f t="shared" si="1"/>
        <v>9.9224122095192158E-2</v>
      </c>
    </row>
    <row r="75" spans="2:7" x14ac:dyDescent="0.35">
      <c r="B75" s="179">
        <v>45536</v>
      </c>
      <c r="C75" s="2">
        <v>595.5</v>
      </c>
      <c r="D75" s="30">
        <f t="shared" si="0"/>
        <v>-0.14550150667240636</v>
      </c>
      <c r="E75" s="2"/>
      <c r="F75" s="180">
        <v>5624.5</v>
      </c>
      <c r="G75" s="30">
        <f t="shared" si="1"/>
        <v>-3.0997067751816765E-2</v>
      </c>
    </row>
    <row r="76" spans="2:7" x14ac:dyDescent="0.35">
      <c r="B76" s="179">
        <v>45566</v>
      </c>
      <c r="C76" s="2">
        <v>511</v>
      </c>
      <c r="D76" s="30">
        <f t="shared" si="0"/>
        <v>-0.14189756507136864</v>
      </c>
      <c r="E76" s="2"/>
      <c r="F76" s="180">
        <v>5199.3999999999996</v>
      </c>
      <c r="G76" s="30">
        <f t="shared" si="1"/>
        <v>-7.5580051560138695E-2</v>
      </c>
    </row>
    <row r="77" spans="2:7" x14ac:dyDescent="0.35">
      <c r="B77" s="179">
        <v>45597</v>
      </c>
      <c r="C77" s="2">
        <v>488.1</v>
      </c>
      <c r="D77" s="30">
        <f t="shared" si="0"/>
        <v>-4.4814090019569375E-2</v>
      </c>
      <c r="E77" s="2"/>
      <c r="F77" s="180">
        <v>5192.59</v>
      </c>
      <c r="G77" s="30">
        <f t="shared" si="1"/>
        <v>-1.3097665115204826E-3</v>
      </c>
    </row>
    <row r="78" spans="2:7" x14ac:dyDescent="0.35">
      <c r="B78" s="179">
        <v>45627</v>
      </c>
      <c r="C78" s="2">
        <v>487.5</v>
      </c>
      <c r="D78" s="30">
        <f t="shared" si="0"/>
        <v>-1.2292562999385304E-3</v>
      </c>
      <c r="E78" s="2"/>
      <c r="F78" s="180">
        <v>5216.4399999999996</v>
      </c>
      <c r="G78" s="30">
        <f t="shared" si="1"/>
        <v>4.5930836056764512E-3</v>
      </c>
    </row>
    <row r="79" spans="2:7" x14ac:dyDescent="0.35">
      <c r="B79" s="179">
        <v>45658</v>
      </c>
      <c r="C79" s="2">
        <v>487.9</v>
      </c>
      <c r="D79" s="30">
        <f t="shared" si="0"/>
        <v>8.2051282051276431E-4</v>
      </c>
      <c r="E79" s="2"/>
      <c r="F79" s="180">
        <v>5112.8999999999996</v>
      </c>
      <c r="G79" s="30">
        <f t="shared" si="1"/>
        <v>-1.9848785761937271E-2</v>
      </c>
    </row>
    <row r="80" spans="2:7" x14ac:dyDescent="0.35">
      <c r="B80" s="179">
        <v>45689</v>
      </c>
      <c r="C80" s="2">
        <v>470.6</v>
      </c>
      <c r="D80" s="30">
        <f t="shared" si="0"/>
        <v>-3.5458085673293671E-2</v>
      </c>
      <c r="E80" s="2"/>
      <c r="F80" s="180">
        <v>5247.3</v>
      </c>
      <c r="G80" s="30">
        <f t="shared" si="1"/>
        <v>2.6286451915742637E-2</v>
      </c>
    </row>
    <row r="81" spans="2:7" x14ac:dyDescent="0.35">
      <c r="B81" s="179">
        <v>45717</v>
      </c>
      <c r="C81" s="2">
        <v>462.7</v>
      </c>
      <c r="D81" s="30">
        <f t="shared" si="0"/>
        <v>-1.6787080322992032E-2</v>
      </c>
      <c r="E81" s="2"/>
      <c r="F81" s="180">
        <v>5219.16</v>
      </c>
      <c r="G81" s="30">
        <f t="shared" si="1"/>
        <v>-5.3627579898234412E-3</v>
      </c>
    </row>
    <row r="82" spans="2:7" x14ac:dyDescent="0.35">
      <c r="B82" s="179">
        <v>45748</v>
      </c>
      <c r="C82" s="2">
        <v>445</v>
      </c>
      <c r="D82" s="30">
        <f t="shared" si="0"/>
        <v>-3.8253728117570773E-2</v>
      </c>
      <c r="E82" s="2"/>
      <c r="F82" s="180">
        <v>4917.92</v>
      </c>
      <c r="G82" s="30">
        <f t="shared" si="1"/>
        <v>-5.7718100230688463E-2</v>
      </c>
    </row>
    <row r="83" spans="2:7" x14ac:dyDescent="0.35">
      <c r="B83" s="179">
        <v>45778</v>
      </c>
      <c r="C83" s="2">
        <v>388.9</v>
      </c>
      <c r="D83" s="30">
        <f t="shared" si="0"/>
        <v>-0.12606741573033708</v>
      </c>
      <c r="E83" s="2"/>
      <c r="F83" s="180">
        <v>4637.92</v>
      </c>
      <c r="G83" s="30">
        <f t="shared" si="1"/>
        <v>-5.6934639034388557E-2</v>
      </c>
    </row>
    <row r="84" spans="2:7" x14ac:dyDescent="0.35">
      <c r="B84" s="179">
        <v>45809</v>
      </c>
      <c r="C84" s="2">
        <v>369.36</v>
      </c>
      <c r="D84" s="30">
        <f t="shared" si="0"/>
        <v>-5.0244278734893233E-2</v>
      </c>
      <c r="E84" s="2"/>
      <c r="F84" s="180">
        <v>4838.3900000000003</v>
      </c>
      <c r="G84" s="30">
        <f t="shared" si="1"/>
        <v>4.3224117707937992E-2</v>
      </c>
    </row>
    <row r="85" spans="2:7" x14ac:dyDescent="0.35">
      <c r="B85" s="179">
        <v>45839</v>
      </c>
      <c r="C85" s="2">
        <v>413</v>
      </c>
      <c r="D85" s="30">
        <f t="shared" si="0"/>
        <v>0.11815031405674681</v>
      </c>
      <c r="E85" s="2"/>
      <c r="F85" s="180">
        <v>5443.42</v>
      </c>
      <c r="G85" s="30">
        <f t="shared" si="1"/>
        <v>0.12504779482431139</v>
      </c>
    </row>
    <row r="86" spans="2:7" x14ac:dyDescent="0.35">
      <c r="B86" s="179">
        <v>45870</v>
      </c>
      <c r="C86" s="2">
        <v>445.91</v>
      </c>
      <c r="D86" s="30">
        <f t="shared" si="0"/>
        <v>7.9685230024213238E-2</v>
      </c>
      <c r="E86" s="2"/>
      <c r="F86" s="180">
        <v>5594.39</v>
      </c>
      <c r="G86" s="30">
        <f t="shared" si="1"/>
        <v>2.7734402269161684E-2</v>
      </c>
    </row>
    <row r="87" spans="2:7" x14ac:dyDescent="0.35">
      <c r="B87" s="179">
        <v>45901</v>
      </c>
      <c r="C87" s="2">
        <v>419.9</v>
      </c>
      <c r="D87" s="30">
        <f t="shared" si="0"/>
        <v>-5.8330156309569281E-2</v>
      </c>
      <c r="E87" s="2"/>
      <c r="F87" s="180">
        <v>5415.79</v>
      </c>
      <c r="G87" s="30">
        <f t="shared" si="1"/>
        <v>-3.1924838990488702E-2</v>
      </c>
    </row>
    <row r="88" spans="2:7" x14ac:dyDescent="0.35">
      <c r="B88" s="2"/>
      <c r="C88" s="2"/>
      <c r="D88" s="2"/>
      <c r="E88" s="2"/>
      <c r="F88" s="2"/>
      <c r="G88" s="2"/>
    </row>
    <row r="89" spans="2:7" x14ac:dyDescent="0.35">
      <c r="B89" s="2"/>
      <c r="C89" s="2"/>
      <c r="D89" s="2"/>
      <c r="E89" s="2"/>
      <c r="F89" s="2"/>
      <c r="G89" s="2"/>
    </row>
    <row r="90" spans="2:7" x14ac:dyDescent="0.35">
      <c r="B90" s="2"/>
      <c r="C90" s="2"/>
      <c r="D90" s="2"/>
      <c r="E90" s="2"/>
      <c r="F90" s="2"/>
      <c r="G90" s="2"/>
    </row>
    <row r="91" spans="2:7" x14ac:dyDescent="0.35">
      <c r="B91" s="2"/>
      <c r="C91" s="2"/>
      <c r="D91" s="2"/>
      <c r="E91" s="2"/>
      <c r="F91" s="2"/>
      <c r="G91" s="2"/>
    </row>
    <row r="92" spans="2:7" x14ac:dyDescent="0.35">
      <c r="B92" s="2"/>
      <c r="C92" s="2"/>
      <c r="D92" s="2"/>
      <c r="E92" s="2"/>
      <c r="F92" s="2"/>
      <c r="G92" s="2"/>
    </row>
    <row r="93" spans="2:7" x14ac:dyDescent="0.35">
      <c r="B93" s="2"/>
      <c r="C93" s="2"/>
      <c r="D93" s="2"/>
      <c r="E93" s="2"/>
      <c r="F93" s="2"/>
      <c r="G93" s="2"/>
    </row>
    <row r="94" spans="2:7" x14ac:dyDescent="0.35">
      <c r="B94" s="2"/>
      <c r="C94" s="2"/>
      <c r="D94" s="2"/>
      <c r="E94" s="2"/>
      <c r="F94" s="2"/>
      <c r="G94" s="2"/>
    </row>
    <row r="95" spans="2:7" x14ac:dyDescent="0.35">
      <c r="B95" s="2"/>
      <c r="C95" s="2"/>
      <c r="D95" s="2"/>
      <c r="E95" s="2"/>
      <c r="F95" s="2"/>
      <c r="G95" s="2"/>
    </row>
    <row r="96" spans="2:7" x14ac:dyDescent="0.35">
      <c r="B96" s="2"/>
      <c r="C96" s="2"/>
      <c r="D96" s="2"/>
      <c r="E96" s="2"/>
      <c r="F96" s="2"/>
      <c r="G96" s="2"/>
    </row>
    <row r="97" spans="2:7" x14ac:dyDescent="0.35">
      <c r="B97" s="2"/>
      <c r="C97" s="2"/>
      <c r="D97" s="2"/>
      <c r="E97" s="2"/>
      <c r="F97" s="2"/>
      <c r="G97" s="2"/>
    </row>
    <row r="98" spans="2:7" x14ac:dyDescent="0.35">
      <c r="B98" s="2"/>
      <c r="C98" s="2"/>
      <c r="D98" s="2"/>
      <c r="E98" s="2"/>
      <c r="F98" s="2"/>
      <c r="G98" s="2"/>
    </row>
    <row r="99" spans="2:7" x14ac:dyDescent="0.35">
      <c r="B99" s="2"/>
      <c r="C99" s="2"/>
      <c r="D99" s="2"/>
      <c r="E99" s="2"/>
      <c r="F99" s="2"/>
      <c r="G99" s="2"/>
    </row>
    <row r="100" spans="2:7" x14ac:dyDescent="0.35">
      <c r="B100" s="2"/>
      <c r="C100" s="2"/>
      <c r="D100" s="2"/>
      <c r="E100" s="2"/>
      <c r="F100" s="2"/>
      <c r="G100" s="2"/>
    </row>
    <row r="101" spans="2:7" x14ac:dyDescent="0.35">
      <c r="B101" s="2"/>
      <c r="C101" s="2"/>
      <c r="D101" s="2"/>
      <c r="E101" s="2"/>
      <c r="F101" s="2"/>
      <c r="G101" s="2"/>
    </row>
    <row r="102" spans="2:7" x14ac:dyDescent="0.35">
      <c r="B102" s="2"/>
      <c r="C102" s="2"/>
      <c r="D102" s="2"/>
      <c r="E102" s="2"/>
      <c r="F102" s="2"/>
      <c r="G102" s="2"/>
    </row>
    <row r="103" spans="2:7" x14ac:dyDescent="0.35">
      <c r="B103" s="2"/>
      <c r="C103" s="2"/>
      <c r="D103" s="2"/>
      <c r="E103" s="2"/>
      <c r="F103" s="2"/>
      <c r="G103" s="2"/>
    </row>
    <row r="104" spans="2:7" x14ac:dyDescent="0.35">
      <c r="B104" s="2"/>
      <c r="C104" s="2"/>
      <c r="D104" s="2"/>
      <c r="E104" s="2"/>
      <c r="F104" s="2"/>
      <c r="G104" s="2"/>
    </row>
    <row r="105" spans="2:7" x14ac:dyDescent="0.35">
      <c r="B105" s="2"/>
      <c r="C105" s="2"/>
      <c r="D105" s="2"/>
      <c r="E105" s="2"/>
      <c r="F105" s="2"/>
      <c r="G105" s="2"/>
    </row>
    <row r="106" spans="2:7" x14ac:dyDescent="0.35">
      <c r="B106" s="2"/>
      <c r="C106" s="2"/>
      <c r="D106" s="2"/>
      <c r="E106" s="2"/>
      <c r="F106" s="2"/>
      <c r="G106" s="2"/>
    </row>
    <row r="107" spans="2:7" x14ac:dyDescent="0.35">
      <c r="B107" s="2"/>
      <c r="C107" s="2"/>
      <c r="D107" s="2"/>
      <c r="E107" s="2"/>
      <c r="F107" s="2"/>
      <c r="G107" s="2"/>
    </row>
    <row r="108" spans="2:7" x14ac:dyDescent="0.35">
      <c r="B108" s="2"/>
      <c r="C108" s="2"/>
      <c r="D108" s="2"/>
      <c r="E108" s="2"/>
      <c r="F108" s="2"/>
      <c r="G108" s="2"/>
    </row>
    <row r="109" spans="2:7" x14ac:dyDescent="0.35">
      <c r="B109" s="2"/>
      <c r="C109" s="2"/>
      <c r="D109" s="2"/>
      <c r="E109" s="2"/>
      <c r="F109" s="2"/>
      <c r="G109" s="2"/>
    </row>
    <row r="110" spans="2:7" x14ac:dyDescent="0.35">
      <c r="B110" s="2"/>
      <c r="C110" s="2"/>
      <c r="D110" s="2"/>
      <c r="E110" s="2"/>
      <c r="F110" s="2"/>
      <c r="G110" s="2"/>
    </row>
    <row r="111" spans="2:7" x14ac:dyDescent="0.35">
      <c r="B111" s="2"/>
      <c r="C111" s="2"/>
      <c r="D111" s="2"/>
      <c r="E111" s="2"/>
      <c r="F111" s="2"/>
      <c r="G111" s="2"/>
    </row>
    <row r="112" spans="2:7" x14ac:dyDescent="0.35">
      <c r="B112" s="2"/>
      <c r="C112" s="2"/>
      <c r="D112" s="2"/>
      <c r="E112" s="2"/>
      <c r="F112" s="2"/>
      <c r="G112" s="2"/>
    </row>
    <row r="113" spans="2:7" x14ac:dyDescent="0.35">
      <c r="B113" s="2"/>
      <c r="C113" s="2"/>
      <c r="D113" s="2"/>
      <c r="E113" s="2"/>
      <c r="F113" s="2"/>
      <c r="G113" s="2"/>
    </row>
    <row r="114" spans="2:7" x14ac:dyDescent="0.35">
      <c r="B114" s="2"/>
      <c r="C114" s="2"/>
      <c r="D114" s="2"/>
      <c r="E114" s="2"/>
      <c r="F114" s="2"/>
      <c r="G114" s="2"/>
    </row>
    <row r="115" spans="2:7" x14ac:dyDescent="0.35">
      <c r="B115" s="2"/>
      <c r="C115" s="2"/>
      <c r="D115" s="2"/>
      <c r="E115" s="2"/>
      <c r="F115" s="2"/>
      <c r="G115" s="2"/>
    </row>
    <row r="116" spans="2:7" x14ac:dyDescent="0.35">
      <c r="B116" s="2"/>
      <c r="C116" s="2"/>
      <c r="D116" s="2"/>
      <c r="E116" s="2"/>
      <c r="F116" s="2"/>
      <c r="G116" s="2"/>
    </row>
    <row r="117" spans="2:7" x14ac:dyDescent="0.35">
      <c r="B117" s="2"/>
      <c r="C117" s="2"/>
      <c r="D117" s="2"/>
      <c r="E117" s="2"/>
      <c r="F117" s="2"/>
      <c r="G117" s="2"/>
    </row>
    <row r="118" spans="2:7" x14ac:dyDescent="0.35">
      <c r="B118" s="2"/>
      <c r="C118" s="2"/>
      <c r="D118" s="2"/>
      <c r="E118" s="2"/>
      <c r="F118" s="2"/>
      <c r="G118" s="2"/>
    </row>
    <row r="119" spans="2:7" x14ac:dyDescent="0.35">
      <c r="B119" s="2"/>
      <c r="C119" s="2"/>
      <c r="D119" s="2"/>
      <c r="E119" s="2"/>
      <c r="F119" s="2"/>
      <c r="G119" s="2"/>
    </row>
    <row r="120" spans="2:7" x14ac:dyDescent="0.35">
      <c r="B120" s="2"/>
      <c r="C120" s="2"/>
      <c r="D120" s="2"/>
      <c r="E120" s="2"/>
      <c r="F120" s="2"/>
      <c r="G120" s="2"/>
    </row>
    <row r="121" spans="2:7" x14ac:dyDescent="0.35">
      <c r="B121" s="2"/>
      <c r="C121" s="2"/>
      <c r="D121" s="2"/>
      <c r="E121" s="2"/>
      <c r="F121" s="2"/>
      <c r="G121" s="2"/>
    </row>
    <row r="122" spans="2:7" x14ac:dyDescent="0.35">
      <c r="B122" s="2"/>
      <c r="C122" s="2"/>
      <c r="D122" s="2"/>
      <c r="E122" s="2"/>
      <c r="F122" s="2"/>
      <c r="G122" s="2"/>
    </row>
    <row r="123" spans="2:7" x14ac:dyDescent="0.35">
      <c r="B123" s="2"/>
      <c r="C123" s="2"/>
      <c r="D123" s="2"/>
      <c r="E123" s="2"/>
      <c r="F123" s="2"/>
      <c r="G123" s="2"/>
    </row>
    <row r="124" spans="2:7" x14ac:dyDescent="0.35">
      <c r="B124" s="2"/>
      <c r="C124" s="2"/>
      <c r="D124" s="2"/>
      <c r="E124" s="2"/>
      <c r="F124" s="2"/>
      <c r="G124" s="2"/>
    </row>
    <row r="125" spans="2:7" x14ac:dyDescent="0.35">
      <c r="B125" s="2"/>
      <c r="C125" s="2"/>
      <c r="D125" s="2"/>
      <c r="E125" s="2"/>
      <c r="F125" s="2"/>
      <c r="G125" s="2"/>
    </row>
    <row r="126" spans="2:7" x14ac:dyDescent="0.35">
      <c r="B126" s="2"/>
      <c r="C126" s="2"/>
      <c r="D126" s="2"/>
      <c r="E126" s="2"/>
      <c r="F126" s="2"/>
      <c r="G126" s="2"/>
    </row>
    <row r="127" spans="2:7" x14ac:dyDescent="0.35">
      <c r="B127" s="2"/>
      <c r="C127" s="2"/>
      <c r="D127" s="2"/>
      <c r="E127" s="2"/>
      <c r="F127" s="2"/>
      <c r="G127" s="2"/>
    </row>
    <row r="128" spans="2:7" x14ac:dyDescent="0.35">
      <c r="B128" s="2"/>
      <c r="C128" s="2"/>
      <c r="D128" s="2"/>
      <c r="E128" s="2"/>
      <c r="F128" s="2"/>
      <c r="G128" s="2"/>
    </row>
    <row r="129" spans="2:7" x14ac:dyDescent="0.35">
      <c r="B129" s="2"/>
      <c r="C129" s="2"/>
      <c r="D129" s="2"/>
      <c r="E129" s="2"/>
      <c r="F129" s="2"/>
      <c r="G129" s="2"/>
    </row>
    <row r="130" spans="2:7" x14ac:dyDescent="0.35">
      <c r="B130" s="2"/>
      <c r="C130" s="2"/>
      <c r="D130" s="2"/>
      <c r="E130" s="2"/>
      <c r="F130" s="2"/>
      <c r="G130" s="2"/>
    </row>
    <row r="131" spans="2:7" x14ac:dyDescent="0.35">
      <c r="B131" s="2"/>
      <c r="C131" s="2"/>
      <c r="D131" s="2"/>
      <c r="E131" s="2"/>
      <c r="F131" s="2"/>
      <c r="G131" s="2"/>
    </row>
    <row r="132" spans="2:7" x14ac:dyDescent="0.35">
      <c r="B132" s="2"/>
      <c r="C132" s="2"/>
      <c r="D132" s="2"/>
      <c r="E132" s="2"/>
      <c r="F132" s="2"/>
      <c r="G132" s="2"/>
    </row>
    <row r="133" spans="2:7" x14ac:dyDescent="0.35">
      <c r="B133" s="2"/>
      <c r="C133" s="2"/>
      <c r="D133" s="2"/>
      <c r="E133" s="2"/>
      <c r="F133" s="2"/>
      <c r="G133" s="2"/>
    </row>
    <row r="134" spans="2:7" x14ac:dyDescent="0.35">
      <c r="B134" s="2"/>
      <c r="C134" s="2"/>
      <c r="D134" s="2"/>
      <c r="E134" s="2"/>
      <c r="F134" s="2"/>
      <c r="G134" s="2"/>
    </row>
    <row r="135" spans="2:7" x14ac:dyDescent="0.35">
      <c r="B135" s="2"/>
      <c r="C135" s="2"/>
      <c r="D135" s="2"/>
      <c r="E135" s="2"/>
      <c r="F135" s="2"/>
      <c r="G135" s="2"/>
    </row>
    <row r="136" spans="2:7" x14ac:dyDescent="0.35">
      <c r="B136" s="2"/>
      <c r="C136" s="2"/>
      <c r="D136" s="2"/>
      <c r="E136" s="2"/>
      <c r="F136" s="2"/>
      <c r="G136" s="2"/>
    </row>
    <row r="137" spans="2:7" x14ac:dyDescent="0.35">
      <c r="B137" s="2"/>
      <c r="C137" s="2"/>
      <c r="D137" s="2"/>
      <c r="E137" s="2"/>
      <c r="F137" s="2"/>
      <c r="G137" s="2"/>
    </row>
    <row r="138" spans="2:7" x14ac:dyDescent="0.35">
      <c r="B138" s="2"/>
      <c r="C138" s="2"/>
      <c r="D138" s="2"/>
      <c r="E138" s="2"/>
      <c r="F138" s="2"/>
      <c r="G138" s="2"/>
    </row>
    <row r="139" spans="2:7" x14ac:dyDescent="0.35">
      <c r="B139" s="2"/>
      <c r="C139" s="2"/>
      <c r="D139" s="2"/>
      <c r="E139" s="2"/>
      <c r="F139" s="2"/>
      <c r="G139" s="2"/>
    </row>
    <row r="140" spans="2:7" x14ac:dyDescent="0.35">
      <c r="B140" s="2"/>
      <c r="C140" s="2"/>
      <c r="D140" s="2"/>
      <c r="E140" s="2"/>
      <c r="F140" s="2"/>
      <c r="G140" s="2"/>
    </row>
    <row r="141" spans="2:7" x14ac:dyDescent="0.35">
      <c r="B141" s="2"/>
      <c r="C141" s="2"/>
      <c r="D141" s="2"/>
      <c r="E141" s="2"/>
      <c r="F141" s="2"/>
      <c r="G141" s="2"/>
    </row>
    <row r="142" spans="2:7" x14ac:dyDescent="0.35">
      <c r="B142" s="2"/>
      <c r="C142" s="2"/>
      <c r="D142" s="2"/>
      <c r="E142" s="2"/>
      <c r="F142" s="2"/>
      <c r="G142" s="2"/>
    </row>
    <row r="143" spans="2:7" x14ac:dyDescent="0.35">
      <c r="B143" s="2"/>
      <c r="C143" s="2"/>
      <c r="D143" s="2"/>
      <c r="E143" s="2"/>
      <c r="F143" s="2"/>
      <c r="G143" s="2"/>
    </row>
    <row r="144" spans="2:7" x14ac:dyDescent="0.35">
      <c r="B144" s="2"/>
      <c r="C144" s="2"/>
      <c r="D144" s="2"/>
      <c r="E144" s="2"/>
      <c r="F144" s="2"/>
      <c r="G144" s="2"/>
    </row>
    <row r="145" spans="2:7" x14ac:dyDescent="0.35">
      <c r="B145" s="2"/>
      <c r="C145" s="2"/>
      <c r="D145" s="2"/>
      <c r="E145" s="2"/>
      <c r="F145" s="2"/>
      <c r="G145" s="2"/>
    </row>
    <row r="146" spans="2:7" x14ac:dyDescent="0.35">
      <c r="B146" s="2"/>
      <c r="C146" s="2"/>
      <c r="D146" s="2"/>
      <c r="E146" s="2"/>
      <c r="F146" s="2"/>
      <c r="G146" s="2"/>
    </row>
    <row r="147" spans="2:7" x14ac:dyDescent="0.35">
      <c r="B147" s="2"/>
      <c r="C147" s="2"/>
      <c r="D147" s="2"/>
      <c r="E147" s="2"/>
      <c r="F147" s="2"/>
      <c r="G147" s="2"/>
    </row>
    <row r="148" spans="2:7" x14ac:dyDescent="0.35">
      <c r="B148" s="2"/>
      <c r="C148" s="2"/>
      <c r="D148" s="2"/>
      <c r="E148" s="2"/>
      <c r="F148" s="2"/>
      <c r="G148" s="2"/>
    </row>
    <row r="149" spans="2:7" x14ac:dyDescent="0.35">
      <c r="B149" s="2"/>
      <c r="C149" s="2"/>
      <c r="D149" s="2"/>
      <c r="E149" s="2"/>
      <c r="F149" s="2"/>
      <c r="G149" s="2"/>
    </row>
    <row r="150" spans="2:7" x14ac:dyDescent="0.35">
      <c r="B150" s="2"/>
      <c r="C150" s="2"/>
      <c r="D150" s="2"/>
      <c r="E150" s="2"/>
      <c r="F150" s="2"/>
      <c r="G150" s="2"/>
    </row>
    <row r="151" spans="2:7" x14ac:dyDescent="0.35">
      <c r="B151" s="2"/>
      <c r="C151" s="2"/>
      <c r="D151" s="2"/>
      <c r="E151" s="2"/>
      <c r="F151" s="2"/>
      <c r="G151" s="2"/>
    </row>
    <row r="152" spans="2:7" x14ac:dyDescent="0.35">
      <c r="B152" s="2"/>
      <c r="C152" s="2"/>
      <c r="D152" s="2"/>
      <c r="E152" s="2"/>
      <c r="F152" s="2"/>
      <c r="G152" s="2"/>
    </row>
    <row r="153" spans="2:7" x14ac:dyDescent="0.35">
      <c r="B153" s="2"/>
      <c r="C153" s="2"/>
      <c r="D153" s="2"/>
      <c r="E153" s="2"/>
      <c r="F153" s="2"/>
      <c r="G153" s="2"/>
    </row>
    <row r="154" spans="2:7" x14ac:dyDescent="0.35">
      <c r="B154" s="2"/>
      <c r="C154" s="2"/>
      <c r="D154" s="2"/>
      <c r="E154" s="2"/>
      <c r="F154" s="2"/>
      <c r="G154" s="2"/>
    </row>
    <row r="155" spans="2:7" x14ac:dyDescent="0.35">
      <c r="B155" s="2"/>
      <c r="C155" s="2"/>
      <c r="D155" s="2"/>
      <c r="E155" s="2"/>
      <c r="F155" s="2"/>
      <c r="G155" s="2"/>
    </row>
    <row r="156" spans="2:7" x14ac:dyDescent="0.35">
      <c r="B156" s="2"/>
      <c r="C156" s="2"/>
      <c r="D156" s="2"/>
      <c r="E156" s="2"/>
      <c r="F156" s="2"/>
      <c r="G156" s="2"/>
    </row>
    <row r="157" spans="2:7" x14ac:dyDescent="0.35">
      <c r="B157" s="2"/>
      <c r="C157" s="2"/>
      <c r="D157" s="2"/>
      <c r="E157" s="2"/>
      <c r="F157" s="2"/>
      <c r="G157" s="2"/>
    </row>
    <row r="158" spans="2:7" x14ac:dyDescent="0.35">
      <c r="B158" s="2"/>
      <c r="C158" s="2"/>
      <c r="D158" s="2"/>
      <c r="E158" s="2"/>
      <c r="F158" s="2"/>
      <c r="G158" s="2"/>
    </row>
    <row r="159" spans="2:7" x14ac:dyDescent="0.35">
      <c r="B159" s="2"/>
      <c r="C159" s="2"/>
      <c r="D159" s="2"/>
      <c r="E159" s="2"/>
      <c r="F159" s="2"/>
      <c r="G159" s="2"/>
    </row>
    <row r="160" spans="2:7" x14ac:dyDescent="0.35">
      <c r="B160" s="2"/>
      <c r="C160" s="2"/>
      <c r="D160" s="2"/>
      <c r="E160" s="2"/>
      <c r="F160" s="2"/>
      <c r="G160" s="2"/>
    </row>
    <row r="161" spans="2:7" x14ac:dyDescent="0.35">
      <c r="B161" s="2"/>
      <c r="C161" s="2"/>
      <c r="D161" s="2"/>
      <c r="E161" s="2"/>
      <c r="F161" s="2"/>
      <c r="G161" s="2"/>
    </row>
    <row r="162" spans="2:7" x14ac:dyDescent="0.35">
      <c r="B162" s="2"/>
      <c r="C162" s="2"/>
      <c r="D162" s="2"/>
      <c r="E162" s="2"/>
      <c r="F162" s="2"/>
      <c r="G162" s="2"/>
    </row>
    <row r="163" spans="2:7" x14ac:dyDescent="0.35">
      <c r="B163" s="2"/>
      <c r="C163" s="2"/>
      <c r="D163" s="2"/>
      <c r="E163" s="2"/>
      <c r="F163" s="2"/>
      <c r="G163" s="2"/>
    </row>
    <row r="164" spans="2:7" x14ac:dyDescent="0.35">
      <c r="B164" s="2"/>
      <c r="C164" s="2"/>
      <c r="D164" s="2"/>
      <c r="E164" s="2"/>
      <c r="F164" s="2"/>
      <c r="G164" s="2"/>
    </row>
    <row r="165" spans="2:7" x14ac:dyDescent="0.35">
      <c r="B165" s="2"/>
      <c r="C165" s="2"/>
      <c r="D165" s="2"/>
      <c r="E165" s="2"/>
      <c r="F165" s="2"/>
      <c r="G165" s="2"/>
    </row>
    <row r="166" spans="2:7" x14ac:dyDescent="0.35">
      <c r="B166" s="2"/>
      <c r="C166" s="2"/>
      <c r="D166" s="2"/>
      <c r="E166" s="2"/>
      <c r="F166" s="2"/>
      <c r="G166" s="2"/>
    </row>
    <row r="167" spans="2:7" x14ac:dyDescent="0.35">
      <c r="B167" s="2"/>
      <c r="C167" s="2"/>
      <c r="D167" s="2"/>
      <c r="E167" s="2"/>
      <c r="F167" s="2"/>
      <c r="G167" s="2"/>
    </row>
    <row r="168" spans="2:7" x14ac:dyDescent="0.35">
      <c r="B168" s="2"/>
      <c r="C168" s="2"/>
      <c r="D168" s="2"/>
      <c r="E168" s="2"/>
      <c r="F168" s="2"/>
      <c r="G168" s="2"/>
    </row>
    <row r="169" spans="2:7" x14ac:dyDescent="0.35">
      <c r="B169" s="2"/>
      <c r="C169" s="2"/>
      <c r="D169" s="2"/>
      <c r="E169" s="2"/>
      <c r="F169" s="2"/>
      <c r="G169" s="2"/>
    </row>
    <row r="170" spans="2:7" x14ac:dyDescent="0.35">
      <c r="B170" s="2"/>
      <c r="C170" s="2"/>
      <c r="D170" s="2"/>
      <c r="E170" s="2"/>
      <c r="F170" s="2"/>
      <c r="G170" s="2"/>
    </row>
    <row r="171" spans="2:7" x14ac:dyDescent="0.35">
      <c r="B171" s="2"/>
      <c r="C171" s="2"/>
      <c r="D171" s="2"/>
      <c r="E171" s="2"/>
      <c r="F171" s="2"/>
      <c r="G171" s="2"/>
    </row>
    <row r="172" spans="2:7" x14ac:dyDescent="0.35">
      <c r="B172" s="2"/>
      <c r="C172" s="2"/>
      <c r="D172" s="2"/>
      <c r="E172" s="2"/>
      <c r="F172" s="2"/>
      <c r="G172" s="2"/>
    </row>
    <row r="173" spans="2:7" x14ac:dyDescent="0.35">
      <c r="B173" s="2"/>
      <c r="C173" s="2"/>
      <c r="D173" s="2"/>
      <c r="E173" s="2"/>
      <c r="F173" s="2"/>
      <c r="G173" s="2"/>
    </row>
    <row r="174" spans="2:7" x14ac:dyDescent="0.35">
      <c r="B174" s="2"/>
      <c r="C174" s="2"/>
      <c r="D174" s="2"/>
      <c r="E174" s="2"/>
      <c r="F174" s="2"/>
      <c r="G174" s="2"/>
    </row>
    <row r="175" spans="2:7" x14ac:dyDescent="0.35">
      <c r="B175" s="2"/>
      <c r="C175" s="2"/>
      <c r="D175" s="2"/>
      <c r="E175" s="2"/>
      <c r="F175" s="2"/>
      <c r="G175" s="2"/>
    </row>
    <row r="176" spans="2:7" x14ac:dyDescent="0.35">
      <c r="B176" s="2"/>
      <c r="C176" s="2"/>
      <c r="D176" s="2"/>
      <c r="E176" s="2"/>
      <c r="F176" s="2"/>
      <c r="G176" s="2"/>
    </row>
    <row r="177" spans="2:7" x14ac:dyDescent="0.35">
      <c r="B177" s="2"/>
      <c r="C177" s="2"/>
      <c r="D177" s="2"/>
      <c r="E177" s="2"/>
      <c r="F177" s="2"/>
      <c r="G177" s="2"/>
    </row>
    <row r="178" spans="2:7" x14ac:dyDescent="0.35">
      <c r="B178" s="2"/>
      <c r="C178" s="2"/>
      <c r="D178" s="2"/>
      <c r="E178" s="2"/>
      <c r="F178" s="2"/>
      <c r="G178" s="2"/>
    </row>
    <row r="179" spans="2:7" x14ac:dyDescent="0.35">
      <c r="B179" s="2"/>
      <c r="C179" s="2"/>
      <c r="D179" s="2"/>
      <c r="E179" s="2"/>
      <c r="F179" s="2"/>
      <c r="G179" s="2"/>
    </row>
    <row r="180" spans="2:7" x14ac:dyDescent="0.35">
      <c r="B180" s="2"/>
      <c r="C180" s="2"/>
      <c r="D180" s="2"/>
      <c r="E180" s="2"/>
      <c r="F180" s="2"/>
      <c r="G180" s="2"/>
    </row>
    <row r="181" spans="2:7" x14ac:dyDescent="0.35">
      <c r="B181" s="2"/>
      <c r="C181" s="2"/>
      <c r="D181" s="2"/>
      <c r="E181" s="2"/>
      <c r="F181" s="2"/>
      <c r="G181" s="2"/>
    </row>
    <row r="182" spans="2:7" x14ac:dyDescent="0.35">
      <c r="B182" s="2"/>
      <c r="C182" s="2"/>
      <c r="D182" s="2"/>
      <c r="E182" s="2"/>
      <c r="F182" s="2"/>
      <c r="G182" s="2"/>
    </row>
    <row r="183" spans="2:7" x14ac:dyDescent="0.35">
      <c r="B183" s="2"/>
      <c r="C183" s="2"/>
      <c r="D183" s="2"/>
      <c r="F183" s="180"/>
      <c r="G183" s="30"/>
    </row>
    <row r="184" spans="2:7" x14ac:dyDescent="0.35">
      <c r="B184" s="2"/>
      <c r="C184" s="2"/>
      <c r="D184" s="2"/>
    </row>
    <row r="185" spans="2:7" x14ac:dyDescent="0.35">
      <c r="B185" s="2"/>
      <c r="C185" s="2"/>
      <c r="D185" s="2"/>
    </row>
    <row r="186" spans="2:7" x14ac:dyDescent="0.35">
      <c r="B186" s="2"/>
      <c r="C186" s="2"/>
      <c r="D186" s="2"/>
    </row>
    <row r="187" spans="2:7" x14ac:dyDescent="0.35">
      <c r="B187" s="2"/>
      <c r="C187" s="2"/>
      <c r="D187" s="2"/>
    </row>
    <row r="188" spans="2:7" x14ac:dyDescent="0.35">
      <c r="B188" s="2"/>
      <c r="C188" s="2"/>
      <c r="D188" s="2"/>
    </row>
    <row r="189" spans="2:7" x14ac:dyDescent="0.35">
      <c r="B189" s="2"/>
      <c r="C189" s="2"/>
      <c r="D189" s="2"/>
    </row>
    <row r="190" spans="2:7" x14ac:dyDescent="0.35">
      <c r="B190" s="2"/>
      <c r="C190" s="2"/>
      <c r="D190" s="2"/>
    </row>
    <row r="191" spans="2:7" x14ac:dyDescent="0.35">
      <c r="B191" s="2"/>
      <c r="C191" s="2"/>
      <c r="D191" s="2"/>
    </row>
    <row r="192" spans="2:7" x14ac:dyDescent="0.35">
      <c r="B192" s="2"/>
      <c r="C192" s="2"/>
      <c r="D192" s="2"/>
    </row>
    <row r="193" spans="2:4" x14ac:dyDescent="0.35">
      <c r="B193" s="2"/>
      <c r="C193" s="2"/>
      <c r="D193" s="2"/>
    </row>
    <row r="194" spans="2:4" x14ac:dyDescent="0.35">
      <c r="B194" s="2"/>
      <c r="C194" s="2"/>
      <c r="D194" s="2"/>
    </row>
    <row r="195" spans="2:4" x14ac:dyDescent="0.35">
      <c r="B195" s="2"/>
      <c r="C195" s="2"/>
      <c r="D195" s="2"/>
    </row>
    <row r="196" spans="2:4" x14ac:dyDescent="0.35">
      <c r="B196" s="2"/>
      <c r="C196" s="2"/>
      <c r="D196" s="2"/>
    </row>
    <row r="197" spans="2:4" x14ac:dyDescent="0.35">
      <c r="B197" s="2"/>
      <c r="C197" s="2"/>
      <c r="D197" s="2"/>
    </row>
    <row r="198" spans="2:4" x14ac:dyDescent="0.35">
      <c r="B198" s="2"/>
      <c r="C198" s="2"/>
      <c r="D198" s="2"/>
    </row>
    <row r="199" spans="2:4" x14ac:dyDescent="0.35">
      <c r="B199" s="2"/>
      <c r="C199" s="2"/>
      <c r="D199" s="2"/>
    </row>
    <row r="200" spans="2:4" x14ac:dyDescent="0.35">
      <c r="B200" s="2"/>
      <c r="C200" s="2"/>
      <c r="D200" s="2"/>
    </row>
    <row r="201" spans="2:4" x14ac:dyDescent="0.35">
      <c r="B201" s="2"/>
      <c r="C201" s="2"/>
      <c r="D201" s="2"/>
    </row>
    <row r="202" spans="2:4" x14ac:dyDescent="0.35">
      <c r="B202" s="2"/>
      <c r="C202" s="2"/>
      <c r="D202" s="2"/>
    </row>
    <row r="203" spans="2:4" x14ac:dyDescent="0.35">
      <c r="B203" s="2"/>
      <c r="C203" s="2"/>
      <c r="D203" s="2"/>
    </row>
    <row r="204" spans="2:4" x14ac:dyDescent="0.35">
      <c r="B204" s="2"/>
      <c r="C204" s="2"/>
      <c r="D204" s="2"/>
    </row>
    <row r="205" spans="2:4" x14ac:dyDescent="0.35">
      <c r="B205" s="2"/>
      <c r="C205" s="2"/>
      <c r="D205" s="2"/>
    </row>
    <row r="206" spans="2:4" x14ac:dyDescent="0.35">
      <c r="B206" s="2"/>
      <c r="C206" s="2"/>
      <c r="D206" s="2"/>
    </row>
    <row r="207" spans="2:4" x14ac:dyDescent="0.35">
      <c r="B207" s="2"/>
      <c r="C207" s="2"/>
      <c r="D207" s="2"/>
    </row>
    <row r="208" spans="2:4" x14ac:dyDescent="0.35">
      <c r="B208" s="2"/>
      <c r="C208" s="2"/>
      <c r="D208" s="2"/>
    </row>
    <row r="209" spans="2:4" x14ac:dyDescent="0.35">
      <c r="B209" s="2"/>
      <c r="C209" s="2"/>
      <c r="D209" s="2"/>
    </row>
    <row r="210" spans="2:4" x14ac:dyDescent="0.35">
      <c r="B210" s="2"/>
      <c r="C210" s="2"/>
      <c r="D210" s="2"/>
    </row>
    <row r="211" spans="2:4" x14ac:dyDescent="0.35">
      <c r="B211" s="2"/>
      <c r="C211" s="2"/>
      <c r="D211" s="2"/>
    </row>
    <row r="212" spans="2:4" x14ac:dyDescent="0.35">
      <c r="B212" s="2"/>
      <c r="C212" s="2"/>
      <c r="D212" s="2"/>
    </row>
    <row r="213" spans="2:4" x14ac:dyDescent="0.35">
      <c r="B213" s="2"/>
      <c r="C213" s="2"/>
      <c r="D213" s="2"/>
    </row>
    <row r="214" spans="2:4" x14ac:dyDescent="0.35">
      <c r="B214" s="2"/>
      <c r="C214" s="2"/>
      <c r="D214" s="2"/>
    </row>
    <row r="215" spans="2:4" x14ac:dyDescent="0.35">
      <c r="B215" s="2"/>
      <c r="C215" s="2"/>
      <c r="D215" s="2"/>
    </row>
    <row r="216" spans="2:4" x14ac:dyDescent="0.35">
      <c r="B216" s="2"/>
      <c r="C216" s="2"/>
      <c r="D216" s="2"/>
    </row>
    <row r="217" spans="2:4" x14ac:dyDescent="0.35">
      <c r="B217" s="2"/>
      <c r="C217" s="2"/>
      <c r="D217" s="2"/>
    </row>
    <row r="218" spans="2:4" x14ac:dyDescent="0.35">
      <c r="B218" s="2"/>
      <c r="C218" s="2"/>
      <c r="D218" s="2"/>
    </row>
    <row r="219" spans="2:4" x14ac:dyDescent="0.35">
      <c r="B219" s="2"/>
      <c r="C219" s="2"/>
      <c r="D219" s="2"/>
    </row>
    <row r="220" spans="2:4" x14ac:dyDescent="0.35">
      <c r="B220" s="2"/>
      <c r="C220" s="2"/>
      <c r="D220" s="2"/>
    </row>
    <row r="221" spans="2:4" x14ac:dyDescent="0.35">
      <c r="B221" s="2"/>
      <c r="C221" s="2"/>
      <c r="D221" s="2"/>
    </row>
    <row r="222" spans="2:4" x14ac:dyDescent="0.35">
      <c r="B222" s="2"/>
      <c r="C222" s="2"/>
      <c r="D222" s="2"/>
    </row>
    <row r="223" spans="2:4" x14ac:dyDescent="0.35">
      <c r="B223" s="2"/>
      <c r="C223" s="2"/>
      <c r="D223" s="2"/>
    </row>
    <row r="224" spans="2:4" x14ac:dyDescent="0.35">
      <c r="B224" s="2"/>
      <c r="C224" s="2"/>
      <c r="D224" s="2"/>
    </row>
    <row r="225" spans="2:4" x14ac:dyDescent="0.35">
      <c r="B225" s="2"/>
      <c r="C225" s="2"/>
      <c r="D225" s="2"/>
    </row>
    <row r="226" spans="2:4" x14ac:dyDescent="0.35">
      <c r="B226" s="2"/>
      <c r="C226" s="2"/>
      <c r="D226" s="2"/>
    </row>
    <row r="227" spans="2:4" x14ac:dyDescent="0.35">
      <c r="B227" s="2"/>
      <c r="C227" s="2"/>
      <c r="D227" s="2"/>
    </row>
    <row r="228" spans="2:4" x14ac:dyDescent="0.35">
      <c r="B228" s="2"/>
      <c r="C228" s="2"/>
      <c r="D228" s="2"/>
    </row>
    <row r="229" spans="2:4" x14ac:dyDescent="0.35">
      <c r="B229" s="2"/>
      <c r="C229" s="2"/>
      <c r="D229" s="2"/>
    </row>
    <row r="230" spans="2:4" x14ac:dyDescent="0.35">
      <c r="B230" s="2"/>
      <c r="C230" s="2"/>
      <c r="D230" s="2"/>
    </row>
    <row r="231" spans="2:4" x14ac:dyDescent="0.35">
      <c r="B231" s="2"/>
      <c r="C231" s="2"/>
      <c r="D231" s="2"/>
    </row>
    <row r="232" spans="2:4" x14ac:dyDescent="0.35">
      <c r="B232" s="2"/>
      <c r="C232" s="2"/>
      <c r="D232" s="2"/>
    </row>
    <row r="233" spans="2:4" x14ac:dyDescent="0.35">
      <c r="B233" s="2"/>
      <c r="C233" s="2"/>
      <c r="D233" s="2"/>
    </row>
    <row r="234" spans="2:4" x14ac:dyDescent="0.35">
      <c r="B234" s="2"/>
      <c r="C234" s="2"/>
      <c r="D234" s="2"/>
    </row>
    <row r="235" spans="2:4" x14ac:dyDescent="0.35">
      <c r="B235" s="2"/>
      <c r="C235" s="2"/>
      <c r="D235" s="2"/>
    </row>
    <row r="236" spans="2:4" x14ac:dyDescent="0.35">
      <c r="B236" s="2"/>
      <c r="C236" s="2"/>
      <c r="D236" s="2"/>
    </row>
    <row r="237" spans="2:4" x14ac:dyDescent="0.35">
      <c r="B237" s="2"/>
      <c r="C237" s="2"/>
      <c r="D237" s="2"/>
    </row>
    <row r="238" spans="2:4" x14ac:dyDescent="0.35">
      <c r="B238" s="2"/>
      <c r="C238" s="2"/>
      <c r="D238" s="2"/>
    </row>
    <row r="239" spans="2:4" x14ac:dyDescent="0.35">
      <c r="B239" s="2"/>
      <c r="C239" s="2"/>
      <c r="D239" s="2"/>
    </row>
    <row r="240" spans="2:4" x14ac:dyDescent="0.35">
      <c r="B240" s="2"/>
      <c r="C240" s="2"/>
      <c r="D240" s="2"/>
    </row>
    <row r="241" spans="2:4" x14ac:dyDescent="0.35">
      <c r="B241" s="2"/>
      <c r="C241" s="2"/>
      <c r="D241" s="2"/>
    </row>
    <row r="242" spans="2:4" x14ac:dyDescent="0.35">
      <c r="B242" s="2"/>
      <c r="C242" s="2"/>
      <c r="D242" s="2"/>
    </row>
    <row r="243" spans="2:4" x14ac:dyDescent="0.35">
      <c r="B243" s="2"/>
      <c r="C243" s="2"/>
      <c r="D243" s="2"/>
    </row>
    <row r="244" spans="2:4" x14ac:dyDescent="0.35">
      <c r="B244" s="2"/>
      <c r="C244" s="2"/>
      <c r="D244" s="2"/>
    </row>
    <row r="245" spans="2:4" x14ac:dyDescent="0.35">
      <c r="B245" s="2"/>
      <c r="C245" s="2"/>
      <c r="D245" s="2"/>
    </row>
    <row r="246" spans="2:4" x14ac:dyDescent="0.35">
      <c r="B246" s="2"/>
      <c r="C246" s="2"/>
      <c r="D246" s="2"/>
    </row>
    <row r="247" spans="2:4" x14ac:dyDescent="0.35">
      <c r="B247" s="2"/>
      <c r="C247" s="2"/>
      <c r="D247" s="2"/>
    </row>
    <row r="248" spans="2:4" x14ac:dyDescent="0.35">
      <c r="B248" s="2"/>
      <c r="C248" s="2"/>
      <c r="D248" s="2"/>
    </row>
    <row r="249" spans="2:4" x14ac:dyDescent="0.35">
      <c r="B249" s="2"/>
      <c r="C249" s="2"/>
      <c r="D249" s="2"/>
    </row>
    <row r="250" spans="2:4" x14ac:dyDescent="0.35">
      <c r="B250" s="2"/>
      <c r="C250" s="2"/>
      <c r="D250" s="2"/>
    </row>
    <row r="251" spans="2:4" x14ac:dyDescent="0.35">
      <c r="B251" s="2"/>
      <c r="C251" s="2"/>
      <c r="D251" s="2"/>
    </row>
    <row r="252" spans="2:4" x14ac:dyDescent="0.35">
      <c r="B252" s="2"/>
      <c r="C252" s="2"/>
      <c r="D252" s="2"/>
    </row>
    <row r="253" spans="2:4" x14ac:dyDescent="0.35">
      <c r="B253" s="2"/>
      <c r="C253" s="2"/>
      <c r="D253" s="2"/>
    </row>
    <row r="254" spans="2:4" x14ac:dyDescent="0.35">
      <c r="B254" s="2"/>
      <c r="C254" s="2"/>
      <c r="D254" s="2"/>
    </row>
    <row r="255" spans="2:4" x14ac:dyDescent="0.35">
      <c r="B255" s="2"/>
      <c r="C255" s="2"/>
      <c r="D255" s="2"/>
    </row>
    <row r="256" spans="2:4" x14ac:dyDescent="0.35">
      <c r="B256" s="2"/>
      <c r="C256" s="2"/>
      <c r="D256" s="2"/>
    </row>
    <row r="257" spans="2:4" x14ac:dyDescent="0.35">
      <c r="B257" s="2"/>
      <c r="C257" s="2"/>
      <c r="D257" s="2"/>
    </row>
    <row r="258" spans="2:4" x14ac:dyDescent="0.35">
      <c r="B258" s="2"/>
      <c r="C258" s="2"/>
      <c r="D258" s="2"/>
    </row>
    <row r="259" spans="2:4" x14ac:dyDescent="0.35">
      <c r="B259" s="2"/>
      <c r="C259" s="2"/>
      <c r="D259" s="2"/>
    </row>
    <row r="260" spans="2:4" x14ac:dyDescent="0.35">
      <c r="B260" s="2"/>
      <c r="C260" s="2"/>
      <c r="D260" s="2"/>
    </row>
    <row r="261" spans="2:4" x14ac:dyDescent="0.35">
      <c r="B261" s="2"/>
      <c r="C261" s="2"/>
      <c r="D261" s="2"/>
    </row>
    <row r="262" spans="2:4" x14ac:dyDescent="0.35">
      <c r="B262" s="2"/>
      <c r="C262" s="2"/>
      <c r="D262" s="2"/>
    </row>
    <row r="263" spans="2:4" x14ac:dyDescent="0.35">
      <c r="B263" s="2"/>
      <c r="C263" s="2"/>
      <c r="D263" s="2"/>
    </row>
    <row r="264" spans="2:4" x14ac:dyDescent="0.35">
      <c r="B264" s="2"/>
      <c r="C264" s="2"/>
      <c r="D264" s="2"/>
    </row>
    <row r="265" spans="2:4" x14ac:dyDescent="0.35">
      <c r="B265" s="2"/>
      <c r="C265" s="2"/>
      <c r="D265" s="2"/>
    </row>
    <row r="266" spans="2:4" x14ac:dyDescent="0.35">
      <c r="B266" s="2"/>
      <c r="C266" s="2"/>
      <c r="D266" s="2"/>
    </row>
    <row r="267" spans="2:4" x14ac:dyDescent="0.35">
      <c r="B267" s="2"/>
      <c r="C267" s="2"/>
      <c r="D267" s="2"/>
    </row>
    <row r="268" spans="2:4" x14ac:dyDescent="0.35">
      <c r="B268" s="2"/>
      <c r="C268" s="2"/>
      <c r="D268" s="2"/>
    </row>
    <row r="269" spans="2:4" x14ac:dyDescent="0.35">
      <c r="B269" s="2"/>
      <c r="C269" s="2"/>
      <c r="D269" s="2"/>
    </row>
    <row r="270" spans="2:4" x14ac:dyDescent="0.35">
      <c r="B270" s="2"/>
      <c r="C270" s="2"/>
      <c r="D270" s="2"/>
    </row>
    <row r="271" spans="2:4" x14ac:dyDescent="0.35">
      <c r="B271" s="2"/>
      <c r="C271" s="2"/>
      <c r="D271" s="2"/>
    </row>
    <row r="272" spans="2:4" x14ac:dyDescent="0.35">
      <c r="B272" s="2"/>
      <c r="C272" s="2"/>
      <c r="D272" s="2"/>
    </row>
    <row r="273" spans="2:4" x14ac:dyDescent="0.35">
      <c r="B273" s="2"/>
      <c r="C273" s="2"/>
      <c r="D273" s="2"/>
    </row>
    <row r="274" spans="2:4" x14ac:dyDescent="0.35">
      <c r="B274" s="2"/>
      <c r="C274" s="2"/>
      <c r="D274" s="2"/>
    </row>
    <row r="275" spans="2:4" x14ac:dyDescent="0.35">
      <c r="B275" s="2"/>
      <c r="C275" s="2"/>
      <c r="D275" s="2"/>
    </row>
    <row r="276" spans="2:4" x14ac:dyDescent="0.35">
      <c r="B276" s="2"/>
      <c r="C276" s="2"/>
      <c r="D276" s="2"/>
    </row>
    <row r="277" spans="2:4" x14ac:dyDescent="0.35">
      <c r="B277" s="2"/>
      <c r="C277" s="2"/>
      <c r="D277" s="2"/>
    </row>
    <row r="278" spans="2:4" x14ac:dyDescent="0.35">
      <c r="B278" s="2"/>
      <c r="C278" s="2"/>
      <c r="D278" s="2"/>
    </row>
    <row r="279" spans="2:4" x14ac:dyDescent="0.35">
      <c r="B279" s="2"/>
      <c r="C279" s="2"/>
      <c r="D279" s="2"/>
    </row>
    <row r="280" spans="2:4" x14ac:dyDescent="0.35">
      <c r="B280" s="2"/>
      <c r="C280" s="2"/>
      <c r="D280" s="2"/>
    </row>
    <row r="281" spans="2:4" x14ac:dyDescent="0.35">
      <c r="B281" s="2"/>
      <c r="C281" s="2"/>
      <c r="D281" s="2"/>
    </row>
    <row r="282" spans="2:4" x14ac:dyDescent="0.35">
      <c r="B282" s="2"/>
      <c r="C282" s="2"/>
      <c r="D282" s="2"/>
    </row>
    <row r="283" spans="2:4" x14ac:dyDescent="0.35">
      <c r="B283" s="2"/>
      <c r="C283" s="2"/>
      <c r="D283" s="2"/>
    </row>
    <row r="284" spans="2:4" x14ac:dyDescent="0.35">
      <c r="B284" s="2"/>
      <c r="C284" s="2"/>
      <c r="D284" s="2"/>
    </row>
    <row r="285" spans="2:4" x14ac:dyDescent="0.35">
      <c r="B285" s="2"/>
      <c r="C285" s="2"/>
      <c r="D285" s="2"/>
    </row>
    <row r="286" spans="2:4" x14ac:dyDescent="0.35">
      <c r="B286" s="2"/>
      <c r="C286" s="2"/>
      <c r="D286" s="2"/>
    </row>
    <row r="287" spans="2:4" x14ac:dyDescent="0.35">
      <c r="B287" s="2"/>
      <c r="C287" s="2"/>
      <c r="D287" s="2"/>
    </row>
    <row r="288" spans="2:4" x14ac:dyDescent="0.35">
      <c r="B288" s="2"/>
      <c r="C288" s="2"/>
      <c r="D288" s="2"/>
    </row>
    <row r="289" spans="2:4" x14ac:dyDescent="0.35">
      <c r="B289" s="2"/>
      <c r="C289" s="2"/>
      <c r="D289" s="2"/>
    </row>
    <row r="290" spans="2:4" x14ac:dyDescent="0.35">
      <c r="B290" s="2"/>
      <c r="C290" s="2"/>
      <c r="D290" s="2"/>
    </row>
    <row r="291" spans="2:4" x14ac:dyDescent="0.35">
      <c r="B291" s="2"/>
      <c r="C291" s="2"/>
      <c r="D291" s="2"/>
    </row>
    <row r="292" spans="2:4" x14ac:dyDescent="0.35">
      <c r="B292" s="2"/>
      <c r="C292" s="2"/>
      <c r="D292" s="2"/>
    </row>
    <row r="293" spans="2:4" x14ac:dyDescent="0.35">
      <c r="B293" s="2"/>
      <c r="C293" s="2"/>
      <c r="D293" s="2"/>
    </row>
    <row r="294" spans="2:4" x14ac:dyDescent="0.35">
      <c r="B294" s="2"/>
      <c r="C294" s="2"/>
      <c r="D294" s="2"/>
    </row>
    <row r="295" spans="2:4" x14ac:dyDescent="0.35">
      <c r="B295" s="2"/>
      <c r="C295" s="2"/>
      <c r="D295" s="2"/>
    </row>
    <row r="296" spans="2:4" x14ac:dyDescent="0.35">
      <c r="B296" s="2"/>
      <c r="C296" s="2"/>
      <c r="D296" s="2"/>
    </row>
    <row r="297" spans="2:4" x14ac:dyDescent="0.35">
      <c r="B297" s="2"/>
      <c r="C297" s="2"/>
      <c r="D297" s="2"/>
    </row>
    <row r="298" spans="2:4" x14ac:dyDescent="0.35">
      <c r="B298" s="2"/>
      <c r="C298" s="2"/>
      <c r="D298" s="2"/>
    </row>
    <row r="299" spans="2:4" x14ac:dyDescent="0.35">
      <c r="B299" s="2"/>
      <c r="C299" s="2"/>
      <c r="D299" s="2"/>
    </row>
    <row r="300" spans="2:4" x14ac:dyDescent="0.35">
      <c r="B300" s="2"/>
      <c r="C300" s="2"/>
      <c r="D300" s="2"/>
    </row>
    <row r="301" spans="2:4" x14ac:dyDescent="0.35">
      <c r="B301" s="2"/>
      <c r="C301" s="2"/>
      <c r="D301" s="2"/>
    </row>
    <row r="302" spans="2:4" x14ac:dyDescent="0.35">
      <c r="B302" s="2"/>
      <c r="C302" s="2"/>
      <c r="D302" s="2"/>
    </row>
    <row r="303" spans="2:4" x14ac:dyDescent="0.35">
      <c r="B303" s="2"/>
      <c r="C303" s="2"/>
      <c r="D303" s="2"/>
    </row>
    <row r="304" spans="2:4" x14ac:dyDescent="0.35">
      <c r="B304" s="2"/>
      <c r="C304" s="2"/>
      <c r="D304" s="2"/>
    </row>
    <row r="305" spans="2:4" x14ac:dyDescent="0.35">
      <c r="B305" s="2"/>
      <c r="C305" s="2"/>
      <c r="D305" s="2"/>
    </row>
    <row r="306" spans="2:4" x14ac:dyDescent="0.35">
      <c r="B306" s="2"/>
      <c r="C306" s="2"/>
      <c r="D306" s="2"/>
    </row>
    <row r="307" spans="2:4" x14ac:dyDescent="0.35">
      <c r="B307" s="2"/>
      <c r="C307" s="2"/>
      <c r="D307" s="2"/>
    </row>
    <row r="308" spans="2:4" x14ac:dyDescent="0.35">
      <c r="B308" s="2"/>
      <c r="C308" s="2"/>
      <c r="D308" s="2"/>
    </row>
    <row r="309" spans="2:4" x14ac:dyDescent="0.35">
      <c r="B309" s="2"/>
      <c r="C309" s="2"/>
      <c r="D309" s="2"/>
    </row>
    <row r="310" spans="2:4" x14ac:dyDescent="0.35">
      <c r="B310" s="2"/>
      <c r="C310" s="2"/>
      <c r="D310" s="2"/>
    </row>
    <row r="311" spans="2:4" x14ac:dyDescent="0.35">
      <c r="B311" s="2"/>
      <c r="C311" s="2"/>
      <c r="D311" s="2"/>
    </row>
    <row r="312" spans="2:4" x14ac:dyDescent="0.35">
      <c r="B312" s="2"/>
      <c r="C312" s="2"/>
      <c r="D312" s="2"/>
    </row>
    <row r="313" spans="2:4" x14ac:dyDescent="0.35">
      <c r="B313" s="2"/>
      <c r="C313" s="2"/>
      <c r="D313" s="2"/>
    </row>
    <row r="314" spans="2:4" x14ac:dyDescent="0.35">
      <c r="B314" s="2"/>
      <c r="C314" s="2"/>
      <c r="D314" s="2"/>
    </row>
    <row r="315" spans="2:4" x14ac:dyDescent="0.35">
      <c r="B315" s="2"/>
      <c r="C315" s="2"/>
      <c r="D315" s="2"/>
    </row>
    <row r="316" spans="2:4" x14ac:dyDescent="0.35">
      <c r="B316" s="2"/>
      <c r="C316" s="2"/>
      <c r="D316" s="2"/>
    </row>
    <row r="317" spans="2:4" x14ac:dyDescent="0.35">
      <c r="B317" s="2"/>
      <c r="C317" s="2"/>
      <c r="D317" s="2"/>
    </row>
    <row r="318" spans="2:4" x14ac:dyDescent="0.35">
      <c r="B318" s="2"/>
      <c r="C318" s="2"/>
      <c r="D318" s="2"/>
    </row>
    <row r="319" spans="2:4" x14ac:dyDescent="0.35">
      <c r="B319" s="2"/>
      <c r="C319" s="2"/>
      <c r="D319" s="2"/>
    </row>
    <row r="320" spans="2:4" x14ac:dyDescent="0.35">
      <c r="B320" s="2"/>
      <c r="C320" s="2"/>
      <c r="D320" s="2"/>
    </row>
    <row r="321" spans="2:4" x14ac:dyDescent="0.35">
      <c r="B321" s="2"/>
      <c r="C321" s="2"/>
      <c r="D321" s="2"/>
    </row>
    <row r="322" spans="2:4" x14ac:dyDescent="0.35">
      <c r="B322" s="2"/>
      <c r="C322" s="2"/>
      <c r="D322" s="2"/>
    </row>
    <row r="323" spans="2:4" x14ac:dyDescent="0.35">
      <c r="B323" s="2"/>
      <c r="C323" s="2"/>
      <c r="D323" s="2"/>
    </row>
    <row r="324" spans="2:4" x14ac:dyDescent="0.35">
      <c r="B324" s="2"/>
      <c r="C324" s="2"/>
      <c r="D324" s="2"/>
    </row>
    <row r="325" spans="2:4" x14ac:dyDescent="0.35">
      <c r="B325" s="2"/>
      <c r="C325" s="2"/>
      <c r="D325" s="2"/>
    </row>
    <row r="326" spans="2:4" x14ac:dyDescent="0.35">
      <c r="B326" s="2"/>
      <c r="C326" s="2"/>
      <c r="D326" s="2"/>
    </row>
    <row r="327" spans="2:4" x14ac:dyDescent="0.35">
      <c r="B327" s="2"/>
      <c r="C327" s="2"/>
      <c r="D327" s="2"/>
    </row>
    <row r="328" spans="2:4" x14ac:dyDescent="0.35">
      <c r="B328" s="2"/>
      <c r="C328" s="2"/>
      <c r="D328" s="2"/>
    </row>
    <row r="329" spans="2:4" x14ac:dyDescent="0.35">
      <c r="B329" s="2"/>
      <c r="C329" s="2"/>
      <c r="D329" s="2"/>
    </row>
    <row r="330" spans="2:4" x14ac:dyDescent="0.35">
      <c r="B330" s="2"/>
      <c r="C330" s="2"/>
      <c r="D330" s="2"/>
    </row>
    <row r="331" spans="2:4" x14ac:dyDescent="0.35">
      <c r="B331" s="2"/>
      <c r="C331" s="2"/>
      <c r="D331" s="2"/>
    </row>
    <row r="332" spans="2:4" x14ac:dyDescent="0.35">
      <c r="B332" s="2"/>
      <c r="C332" s="2"/>
      <c r="D332" s="2"/>
    </row>
    <row r="333" spans="2:4" x14ac:dyDescent="0.35">
      <c r="B333" s="2"/>
      <c r="C333" s="2"/>
      <c r="D333" s="2"/>
    </row>
    <row r="334" spans="2:4" x14ac:dyDescent="0.35">
      <c r="B334" s="2"/>
      <c r="C334" s="2"/>
      <c r="D334" s="2"/>
    </row>
    <row r="335" spans="2:4" x14ac:dyDescent="0.35">
      <c r="B335" s="2"/>
      <c r="C335" s="2"/>
      <c r="D335" s="2"/>
    </row>
    <row r="336" spans="2:4" x14ac:dyDescent="0.35">
      <c r="B336" s="2"/>
      <c r="C336" s="2"/>
      <c r="D336" s="2"/>
    </row>
    <row r="337" spans="2:4" x14ac:dyDescent="0.35">
      <c r="B337" s="2"/>
      <c r="C337" s="2"/>
      <c r="D337" s="2"/>
    </row>
    <row r="338" spans="2:4" x14ac:dyDescent="0.35">
      <c r="B338" s="2"/>
      <c r="C338" s="2"/>
      <c r="D338" s="2"/>
    </row>
    <row r="339" spans="2:4" x14ac:dyDescent="0.35">
      <c r="B339" s="2"/>
      <c r="C339" s="2"/>
      <c r="D339" s="2"/>
    </row>
    <row r="340" spans="2:4" x14ac:dyDescent="0.35">
      <c r="B340" s="2"/>
      <c r="C340" s="2"/>
      <c r="D340" s="2"/>
    </row>
    <row r="341" spans="2:4" x14ac:dyDescent="0.35">
      <c r="B341" s="2"/>
      <c r="C341" s="2"/>
      <c r="D341" s="2"/>
    </row>
    <row r="342" spans="2:4" x14ac:dyDescent="0.35">
      <c r="B342" s="2"/>
      <c r="C342" s="2"/>
      <c r="D342" s="2"/>
    </row>
    <row r="343" spans="2:4" x14ac:dyDescent="0.35">
      <c r="B343" s="2"/>
      <c r="C343" s="2"/>
      <c r="D343" s="2"/>
    </row>
    <row r="344" spans="2:4" x14ac:dyDescent="0.35">
      <c r="B344" s="2"/>
      <c r="C344" s="2"/>
      <c r="D344" s="2"/>
    </row>
    <row r="345" spans="2:4" x14ac:dyDescent="0.35">
      <c r="B345" s="2"/>
      <c r="C345" s="2"/>
      <c r="D345" s="2"/>
    </row>
    <row r="346" spans="2:4" x14ac:dyDescent="0.35">
      <c r="B346" s="2"/>
      <c r="C346" s="2"/>
      <c r="D346" s="2"/>
    </row>
    <row r="347" spans="2:4" x14ac:dyDescent="0.35">
      <c r="B347" s="2"/>
      <c r="C347" s="2"/>
      <c r="D347" s="2"/>
    </row>
    <row r="348" spans="2:4" x14ac:dyDescent="0.35">
      <c r="B348" s="2"/>
      <c r="C348" s="2"/>
      <c r="D348" s="2"/>
    </row>
    <row r="349" spans="2:4" x14ac:dyDescent="0.35">
      <c r="B349" s="2"/>
      <c r="C349" s="2"/>
      <c r="D349" s="2"/>
    </row>
    <row r="350" spans="2:4" x14ac:dyDescent="0.35">
      <c r="B350" s="2"/>
      <c r="C350" s="2"/>
      <c r="D350" s="2"/>
    </row>
    <row r="351" spans="2:4" x14ac:dyDescent="0.35">
      <c r="B351" s="2"/>
      <c r="C351" s="2"/>
      <c r="D351" s="2"/>
    </row>
    <row r="352" spans="2:4" x14ac:dyDescent="0.35">
      <c r="B352" s="2"/>
      <c r="C352" s="2"/>
      <c r="D352" s="2"/>
    </row>
    <row r="353" spans="2:4" x14ac:dyDescent="0.35">
      <c r="B353" s="2"/>
      <c r="C353" s="2"/>
      <c r="D353" s="2"/>
    </row>
    <row r="354" spans="2:4" x14ac:dyDescent="0.35">
      <c r="B354" s="2"/>
      <c r="C354" s="2"/>
      <c r="D354" s="2"/>
    </row>
    <row r="355" spans="2:4" x14ac:dyDescent="0.35">
      <c r="B355" s="2"/>
      <c r="C355" s="2"/>
      <c r="D355" s="2"/>
    </row>
    <row r="356" spans="2:4" x14ac:dyDescent="0.35">
      <c r="B356" s="2"/>
      <c r="C356" s="2"/>
      <c r="D356" s="2"/>
    </row>
    <row r="357" spans="2:4" x14ac:dyDescent="0.35">
      <c r="B357" s="2"/>
      <c r="C357" s="2"/>
      <c r="D357" s="2"/>
    </row>
    <row r="358" spans="2:4" x14ac:dyDescent="0.35">
      <c r="B358" s="2"/>
      <c r="C358" s="2"/>
      <c r="D358" s="2"/>
    </row>
    <row r="359" spans="2:4" x14ac:dyDescent="0.35">
      <c r="B359" s="2"/>
      <c r="C359" s="2"/>
      <c r="D359" s="2"/>
    </row>
    <row r="360" spans="2:4" x14ac:dyDescent="0.35">
      <c r="B360" s="2"/>
      <c r="C360" s="2"/>
      <c r="D360" s="2"/>
    </row>
    <row r="361" spans="2:4" x14ac:dyDescent="0.35">
      <c r="B361" s="2"/>
      <c r="C361" s="2"/>
      <c r="D361" s="2"/>
    </row>
    <row r="362" spans="2:4" x14ac:dyDescent="0.35">
      <c r="B362" s="2"/>
      <c r="C362" s="2"/>
      <c r="D362" s="2"/>
    </row>
    <row r="363" spans="2:4" x14ac:dyDescent="0.35">
      <c r="B363" s="2"/>
      <c r="C363" s="2"/>
      <c r="D363" s="2"/>
    </row>
    <row r="364" spans="2:4" x14ac:dyDescent="0.35">
      <c r="B364" s="2"/>
      <c r="C364" s="2"/>
      <c r="D364" s="2"/>
    </row>
    <row r="365" spans="2:4" x14ac:dyDescent="0.35">
      <c r="B365" s="2"/>
      <c r="C365" s="2"/>
      <c r="D365" s="2"/>
    </row>
    <row r="366" spans="2:4" x14ac:dyDescent="0.35">
      <c r="B366" s="2"/>
      <c r="C366" s="2"/>
      <c r="D366" s="2"/>
    </row>
    <row r="367" spans="2:4" x14ac:dyDescent="0.35">
      <c r="B367" s="2"/>
      <c r="C367" s="2"/>
      <c r="D367" s="2"/>
    </row>
    <row r="368" spans="2:4" x14ac:dyDescent="0.35">
      <c r="B368" s="2"/>
      <c r="C368" s="2"/>
      <c r="D368" s="2"/>
    </row>
    <row r="369" spans="2:4" x14ac:dyDescent="0.35">
      <c r="B369" s="2"/>
      <c r="C369" s="2"/>
      <c r="D369" s="2"/>
    </row>
    <row r="370" spans="2:4" x14ac:dyDescent="0.35">
      <c r="B370" s="2"/>
      <c r="C370" s="2"/>
      <c r="D370" s="2"/>
    </row>
    <row r="371" spans="2:4" x14ac:dyDescent="0.35">
      <c r="B371" s="2"/>
      <c r="C371" s="2"/>
      <c r="D371" s="2"/>
    </row>
    <row r="372" spans="2:4" x14ac:dyDescent="0.35">
      <c r="B372" s="2"/>
      <c r="C372" s="2"/>
      <c r="D372" s="2"/>
    </row>
    <row r="373" spans="2:4" x14ac:dyDescent="0.35">
      <c r="B373" s="2"/>
      <c r="C373" s="2"/>
      <c r="D373" s="2"/>
    </row>
    <row r="374" spans="2:4" x14ac:dyDescent="0.35">
      <c r="B374" s="2"/>
      <c r="C374" s="2"/>
      <c r="D374" s="2"/>
    </row>
    <row r="375" spans="2:4" x14ac:dyDescent="0.35">
      <c r="B375" s="2"/>
      <c r="C375" s="2"/>
      <c r="D375" s="2"/>
    </row>
    <row r="376" spans="2:4" x14ac:dyDescent="0.35">
      <c r="B376" s="2"/>
      <c r="C376" s="2"/>
      <c r="D376" s="2"/>
    </row>
    <row r="377" spans="2:4" x14ac:dyDescent="0.35">
      <c r="B377" s="2"/>
      <c r="C377" s="2"/>
      <c r="D377" s="2"/>
    </row>
    <row r="378" spans="2:4" x14ac:dyDescent="0.35">
      <c r="B378" s="2"/>
      <c r="C378" s="2"/>
      <c r="D378" s="2"/>
    </row>
    <row r="379" spans="2:4" x14ac:dyDescent="0.35">
      <c r="B379" s="2"/>
      <c r="C379" s="2"/>
      <c r="D379" s="2"/>
    </row>
    <row r="380" spans="2:4" x14ac:dyDescent="0.35">
      <c r="B380" s="2"/>
      <c r="C380" s="2"/>
      <c r="D380" s="2"/>
    </row>
    <row r="381" spans="2:4" x14ac:dyDescent="0.35">
      <c r="B381" s="2"/>
      <c r="C381" s="2"/>
      <c r="D381" s="2"/>
    </row>
    <row r="382" spans="2:4" x14ac:dyDescent="0.35">
      <c r="B382" s="2"/>
      <c r="C382" s="2"/>
      <c r="D382" s="2"/>
    </row>
    <row r="383" spans="2:4" x14ac:dyDescent="0.35">
      <c r="B383" s="2"/>
      <c r="C383" s="2"/>
      <c r="D383" s="2"/>
    </row>
    <row r="384" spans="2:4" x14ac:dyDescent="0.35">
      <c r="B384" s="2"/>
      <c r="C384" s="2"/>
      <c r="D384" s="2"/>
    </row>
    <row r="385" spans="2:4" x14ac:dyDescent="0.35">
      <c r="B385" s="2"/>
      <c r="C385" s="2"/>
      <c r="D385" s="2"/>
    </row>
    <row r="386" spans="2:4" x14ac:dyDescent="0.35">
      <c r="B386" s="2"/>
      <c r="C386" s="2"/>
      <c r="D386" s="2"/>
    </row>
    <row r="387" spans="2:4" x14ac:dyDescent="0.35">
      <c r="B387" s="2"/>
      <c r="C387" s="2"/>
      <c r="D387" s="2"/>
    </row>
    <row r="388" spans="2:4" x14ac:dyDescent="0.35">
      <c r="B388" s="2"/>
      <c r="C388" s="2"/>
      <c r="D388" s="2"/>
    </row>
    <row r="389" spans="2:4" x14ac:dyDescent="0.35">
      <c r="B389" s="2"/>
      <c r="C389" s="2"/>
      <c r="D389" s="2"/>
    </row>
    <row r="390" spans="2:4" x14ac:dyDescent="0.35">
      <c r="B390" s="2"/>
      <c r="C390" s="2"/>
      <c r="D390" s="2"/>
    </row>
    <row r="391" spans="2:4" x14ac:dyDescent="0.35">
      <c r="B391" s="2"/>
      <c r="C391" s="2"/>
      <c r="D391" s="2"/>
    </row>
    <row r="392" spans="2:4" x14ac:dyDescent="0.35">
      <c r="B392" s="2"/>
      <c r="C392" s="2"/>
      <c r="D392" s="2"/>
    </row>
    <row r="393" spans="2:4" x14ac:dyDescent="0.35">
      <c r="B393" s="2"/>
      <c r="C393" s="2"/>
      <c r="D393" s="2"/>
    </row>
    <row r="394" spans="2:4" x14ac:dyDescent="0.35">
      <c r="B394" s="2"/>
      <c r="C394" s="2"/>
      <c r="D394" s="2"/>
    </row>
    <row r="395" spans="2:4" x14ac:dyDescent="0.35">
      <c r="B395" s="2"/>
      <c r="C395" s="2"/>
      <c r="D395" s="2"/>
    </row>
    <row r="396" spans="2:4" x14ac:dyDescent="0.35">
      <c r="B396" s="2"/>
      <c r="C396" s="2"/>
      <c r="D396" s="2"/>
    </row>
    <row r="397" spans="2:4" x14ac:dyDescent="0.35">
      <c r="B397" s="2"/>
      <c r="C397" s="2"/>
      <c r="D397" s="2"/>
    </row>
    <row r="398" spans="2:4" x14ac:dyDescent="0.35">
      <c r="B398" s="2"/>
      <c r="C398" s="2"/>
      <c r="D398" s="2"/>
    </row>
    <row r="399" spans="2:4" x14ac:dyDescent="0.35">
      <c r="B399" s="2"/>
      <c r="C399" s="2"/>
      <c r="D399" s="2"/>
    </row>
    <row r="400" spans="2:4" x14ac:dyDescent="0.35">
      <c r="B400" s="2"/>
      <c r="C400" s="2"/>
      <c r="D400" s="2"/>
    </row>
    <row r="401" spans="2:4" x14ac:dyDescent="0.35">
      <c r="B401" s="2"/>
      <c r="C401" s="2"/>
      <c r="D401" s="2"/>
    </row>
    <row r="402" spans="2:4" x14ac:dyDescent="0.35">
      <c r="B402" s="2"/>
      <c r="C402" s="2"/>
      <c r="D402" s="2"/>
    </row>
    <row r="403" spans="2:4" x14ac:dyDescent="0.35">
      <c r="B403" s="2"/>
      <c r="C403" s="2"/>
      <c r="D403" s="2"/>
    </row>
    <row r="404" spans="2:4" x14ac:dyDescent="0.35">
      <c r="B404" s="2"/>
      <c r="C404" s="2"/>
      <c r="D404" s="2"/>
    </row>
    <row r="405" spans="2:4" x14ac:dyDescent="0.35">
      <c r="B405" s="2"/>
      <c r="C405" s="2"/>
      <c r="D405" s="2"/>
    </row>
    <row r="406" spans="2:4" x14ac:dyDescent="0.35">
      <c r="B406" s="2"/>
      <c r="C406" s="2"/>
      <c r="D406" s="2"/>
    </row>
    <row r="407" spans="2:4" x14ac:dyDescent="0.35">
      <c r="B407" s="2"/>
      <c r="C407" s="2"/>
      <c r="D407" s="2"/>
    </row>
    <row r="408" spans="2:4" x14ac:dyDescent="0.35">
      <c r="B408" s="2"/>
      <c r="C408" s="2"/>
      <c r="D408" s="2"/>
    </row>
    <row r="409" spans="2:4" x14ac:dyDescent="0.35">
      <c r="B409" s="2"/>
      <c r="C409" s="2"/>
      <c r="D409" s="2"/>
    </row>
    <row r="410" spans="2:4" x14ac:dyDescent="0.35">
      <c r="B410" s="2"/>
      <c r="C410" s="2"/>
      <c r="D410" s="2"/>
    </row>
    <row r="411" spans="2:4" x14ac:dyDescent="0.35">
      <c r="B411" s="2"/>
      <c r="C411" s="2"/>
      <c r="D411" s="2"/>
    </row>
    <row r="412" spans="2:4" x14ac:dyDescent="0.35">
      <c r="B412" s="2"/>
      <c r="C412" s="2"/>
      <c r="D412" s="2"/>
    </row>
    <row r="413" spans="2:4" x14ac:dyDescent="0.35">
      <c r="B413" s="2"/>
      <c r="C413" s="2"/>
      <c r="D413" s="2"/>
    </row>
    <row r="414" spans="2:4" x14ac:dyDescent="0.35">
      <c r="B414" s="2"/>
      <c r="C414" s="2"/>
      <c r="D414" s="2"/>
    </row>
    <row r="415" spans="2:4" x14ac:dyDescent="0.35">
      <c r="B415" s="2"/>
      <c r="C415" s="2"/>
      <c r="D415" s="2"/>
    </row>
    <row r="416" spans="2:4" x14ac:dyDescent="0.35">
      <c r="B416" s="2"/>
      <c r="C416" s="2"/>
      <c r="D416" s="2"/>
    </row>
    <row r="417" spans="2:4" x14ac:dyDescent="0.35">
      <c r="B417" s="2"/>
      <c r="C417" s="2"/>
      <c r="D417" s="2"/>
    </row>
    <row r="418" spans="2:4" x14ac:dyDescent="0.35">
      <c r="B418" s="2"/>
      <c r="C418" s="2"/>
      <c r="D418" s="2"/>
    </row>
    <row r="419" spans="2:4" x14ac:dyDescent="0.35">
      <c r="B419" s="2"/>
      <c r="C419" s="2"/>
      <c r="D419" s="2"/>
    </row>
    <row r="420" spans="2:4" x14ac:dyDescent="0.35">
      <c r="B420" s="2"/>
      <c r="C420" s="2"/>
      <c r="D420" s="2"/>
    </row>
    <row r="421" spans="2:4" x14ac:dyDescent="0.35">
      <c r="B421" s="2"/>
      <c r="C421" s="2"/>
      <c r="D421" s="2"/>
    </row>
    <row r="422" spans="2:4" x14ac:dyDescent="0.35">
      <c r="B422" s="2"/>
      <c r="C422" s="2"/>
      <c r="D422" s="2"/>
    </row>
    <row r="423" spans="2:4" x14ac:dyDescent="0.35">
      <c r="B423" s="2"/>
      <c r="C423" s="2"/>
      <c r="D423" s="2"/>
    </row>
    <row r="424" spans="2:4" x14ac:dyDescent="0.35">
      <c r="B424" s="2"/>
      <c r="C424" s="2"/>
      <c r="D424" s="2"/>
    </row>
    <row r="425" spans="2:4" x14ac:dyDescent="0.35">
      <c r="B425" s="2"/>
      <c r="C425" s="2"/>
      <c r="D425" s="2"/>
    </row>
    <row r="426" spans="2:4" x14ac:dyDescent="0.35">
      <c r="B426" s="2"/>
      <c r="C426" s="2"/>
      <c r="D426" s="2"/>
    </row>
    <row r="427" spans="2:4" x14ac:dyDescent="0.35">
      <c r="B427" s="2"/>
      <c r="C427" s="2"/>
      <c r="D427" s="2"/>
    </row>
    <row r="428" spans="2:4" x14ac:dyDescent="0.35">
      <c r="B428" s="2"/>
      <c r="C428" s="2"/>
      <c r="D428" s="2"/>
    </row>
    <row r="429" spans="2:4" x14ac:dyDescent="0.35">
      <c r="B429" s="2"/>
      <c r="C429" s="2"/>
      <c r="D429" s="2"/>
    </row>
    <row r="430" spans="2:4" x14ac:dyDescent="0.35">
      <c r="B430" s="2"/>
      <c r="C430" s="2"/>
      <c r="D430" s="2"/>
    </row>
    <row r="431" spans="2:4" x14ac:dyDescent="0.35">
      <c r="B431" s="2"/>
      <c r="C431" s="2"/>
      <c r="D431" s="2"/>
    </row>
    <row r="432" spans="2:4" x14ac:dyDescent="0.35">
      <c r="B432" s="2"/>
      <c r="C432" s="2"/>
      <c r="D432" s="2"/>
    </row>
    <row r="433" spans="2:4" x14ac:dyDescent="0.35">
      <c r="B433" s="2"/>
      <c r="C433" s="2"/>
      <c r="D433" s="2"/>
    </row>
    <row r="434" spans="2:4" x14ac:dyDescent="0.35">
      <c r="B434" s="2"/>
      <c r="C434" s="2"/>
      <c r="D434" s="2"/>
    </row>
    <row r="435" spans="2:4" x14ac:dyDescent="0.35">
      <c r="B435" s="2"/>
      <c r="C435" s="2"/>
      <c r="D435" s="2"/>
    </row>
    <row r="436" spans="2:4" x14ac:dyDescent="0.35">
      <c r="B436" s="2"/>
      <c r="C436" s="2"/>
      <c r="D436" s="2"/>
    </row>
    <row r="437" spans="2:4" x14ac:dyDescent="0.35">
      <c r="B437" s="2"/>
      <c r="C437" s="2"/>
      <c r="D437" s="2"/>
    </row>
    <row r="438" spans="2:4" x14ac:dyDescent="0.35">
      <c r="B438" s="2"/>
      <c r="C438" s="2"/>
      <c r="D438" s="2"/>
    </row>
    <row r="439" spans="2:4" x14ac:dyDescent="0.35">
      <c r="B439" s="2"/>
      <c r="C439" s="2"/>
      <c r="D439" s="2"/>
    </row>
    <row r="440" spans="2:4" x14ac:dyDescent="0.35">
      <c r="B440" s="2"/>
      <c r="C440" s="2"/>
      <c r="D440" s="2"/>
    </row>
    <row r="441" spans="2:4" x14ac:dyDescent="0.35">
      <c r="B441" s="2"/>
      <c r="C441" s="2"/>
      <c r="D441" s="2"/>
    </row>
    <row r="442" spans="2:4" x14ac:dyDescent="0.35">
      <c r="B442" s="2"/>
      <c r="C442" s="2"/>
      <c r="D442" s="2"/>
    </row>
    <row r="443" spans="2:4" x14ac:dyDescent="0.35">
      <c r="B443" s="2"/>
      <c r="C443" s="2"/>
      <c r="D443" s="2"/>
    </row>
    <row r="444" spans="2:4" x14ac:dyDescent="0.35">
      <c r="B444" s="2"/>
      <c r="C444" s="2"/>
      <c r="D444" s="2"/>
    </row>
    <row r="445" spans="2:4" x14ac:dyDescent="0.35">
      <c r="B445" s="2"/>
      <c r="C445" s="2"/>
      <c r="D445" s="2"/>
    </row>
    <row r="446" spans="2:4" x14ac:dyDescent="0.35">
      <c r="B446" s="2"/>
      <c r="C446" s="2"/>
      <c r="D446" s="2"/>
    </row>
    <row r="447" spans="2:4" x14ac:dyDescent="0.35">
      <c r="B447" s="2"/>
      <c r="C447" s="2"/>
      <c r="D447" s="2"/>
    </row>
    <row r="448" spans="2:4" x14ac:dyDescent="0.35">
      <c r="B448" s="2"/>
      <c r="C448" s="2"/>
      <c r="D448" s="2"/>
    </row>
    <row r="449" spans="2:4" x14ac:dyDescent="0.35">
      <c r="B449" s="2"/>
      <c r="C449" s="2"/>
      <c r="D449" s="2"/>
    </row>
    <row r="450" spans="2:4" x14ac:dyDescent="0.35">
      <c r="B450" s="2"/>
      <c r="C450" s="2"/>
      <c r="D450" s="2"/>
    </row>
    <row r="451" spans="2:4" x14ac:dyDescent="0.35">
      <c r="B451" s="2"/>
      <c r="C451" s="2"/>
      <c r="D451" s="2"/>
    </row>
    <row r="452" spans="2:4" x14ac:dyDescent="0.35">
      <c r="B452" s="2"/>
      <c r="C452" s="2"/>
      <c r="D452" s="2"/>
    </row>
    <row r="453" spans="2:4" x14ac:dyDescent="0.35">
      <c r="B453" s="2"/>
      <c r="C453" s="2"/>
      <c r="D453" s="2"/>
    </row>
    <row r="454" spans="2:4" x14ac:dyDescent="0.35">
      <c r="B454" s="2"/>
      <c r="C454" s="2"/>
      <c r="D454" s="2"/>
    </row>
    <row r="455" spans="2:4" x14ac:dyDescent="0.35">
      <c r="B455" s="2"/>
      <c r="C455" s="2"/>
      <c r="D455" s="2"/>
    </row>
    <row r="456" spans="2:4" x14ac:dyDescent="0.35">
      <c r="B456" s="2"/>
      <c r="C456" s="2"/>
      <c r="D456" s="2"/>
    </row>
    <row r="457" spans="2:4" x14ac:dyDescent="0.35">
      <c r="B457" s="2"/>
      <c r="C457" s="2"/>
      <c r="D457" s="2"/>
    </row>
    <row r="458" spans="2:4" x14ac:dyDescent="0.35">
      <c r="B458" s="2"/>
      <c r="C458" s="2"/>
      <c r="D458" s="2"/>
    </row>
    <row r="459" spans="2:4" x14ac:dyDescent="0.35">
      <c r="B459" s="2"/>
      <c r="C459" s="2"/>
      <c r="D459" s="2"/>
    </row>
    <row r="460" spans="2:4" x14ac:dyDescent="0.35">
      <c r="B460" s="2"/>
      <c r="C460" s="2"/>
      <c r="D460" s="2"/>
    </row>
    <row r="461" spans="2:4" x14ac:dyDescent="0.35">
      <c r="B461" s="2"/>
      <c r="C461" s="2"/>
      <c r="D461" s="2"/>
    </row>
    <row r="462" spans="2:4" x14ac:dyDescent="0.35">
      <c r="B462" s="2"/>
      <c r="C462" s="2"/>
      <c r="D462" s="2"/>
    </row>
    <row r="463" spans="2:4" x14ac:dyDescent="0.35">
      <c r="B463" s="2"/>
      <c r="C463" s="2"/>
      <c r="D463" s="2"/>
    </row>
    <row r="464" spans="2:4" x14ac:dyDescent="0.35">
      <c r="B464" s="2"/>
      <c r="C464" s="2"/>
      <c r="D464" s="2"/>
    </row>
    <row r="465" spans="2:4" x14ac:dyDescent="0.35">
      <c r="B465" s="2"/>
      <c r="C465" s="2"/>
      <c r="D465" s="2"/>
    </row>
    <row r="466" spans="2:4" x14ac:dyDescent="0.35">
      <c r="B466" s="2"/>
      <c r="C466" s="2"/>
      <c r="D466" s="2"/>
    </row>
    <row r="467" spans="2:4" x14ac:dyDescent="0.35">
      <c r="B467" s="2"/>
      <c r="C467" s="2"/>
      <c r="D467" s="2"/>
    </row>
    <row r="468" spans="2:4" x14ac:dyDescent="0.35">
      <c r="B468" s="2"/>
      <c r="C468" s="2"/>
      <c r="D468" s="2"/>
    </row>
    <row r="469" spans="2:4" x14ac:dyDescent="0.35">
      <c r="B469" s="2"/>
      <c r="C469" s="2"/>
      <c r="D469" s="2"/>
    </row>
    <row r="470" spans="2:4" x14ac:dyDescent="0.35">
      <c r="B470" s="2"/>
      <c r="C470" s="2"/>
      <c r="D470" s="2"/>
    </row>
    <row r="471" spans="2:4" x14ac:dyDescent="0.35">
      <c r="B471" s="2"/>
      <c r="C471" s="2"/>
      <c r="D471" s="2"/>
    </row>
    <row r="472" spans="2:4" x14ac:dyDescent="0.35">
      <c r="B472" s="2"/>
      <c r="C472" s="2"/>
      <c r="D472" s="2"/>
    </row>
    <row r="473" spans="2:4" x14ac:dyDescent="0.35">
      <c r="B473" s="2"/>
      <c r="C473" s="2"/>
      <c r="D473" s="2"/>
    </row>
    <row r="474" spans="2:4" x14ac:dyDescent="0.35">
      <c r="B474" s="2"/>
      <c r="C474" s="2"/>
      <c r="D474" s="2"/>
    </row>
    <row r="475" spans="2:4" x14ac:dyDescent="0.35">
      <c r="B475" s="2"/>
      <c r="C475" s="2"/>
      <c r="D475" s="2"/>
    </row>
    <row r="476" spans="2:4" x14ac:dyDescent="0.35">
      <c r="B476" s="2"/>
      <c r="C476" s="2"/>
      <c r="D476" s="2"/>
    </row>
    <row r="477" spans="2:4" x14ac:dyDescent="0.35">
      <c r="B477" s="2"/>
      <c r="C477" s="2"/>
      <c r="D477" s="2"/>
    </row>
    <row r="478" spans="2:4" x14ac:dyDescent="0.35">
      <c r="B478" s="2"/>
      <c r="C478" s="2"/>
      <c r="D478" s="2"/>
    </row>
    <row r="479" spans="2:4" x14ac:dyDescent="0.35">
      <c r="B479" s="2"/>
      <c r="C479" s="2"/>
      <c r="D479" s="2"/>
    </row>
    <row r="480" spans="2:4" x14ac:dyDescent="0.35">
      <c r="B480" s="2"/>
      <c r="C480" s="2"/>
      <c r="D480" s="2"/>
    </row>
    <row r="481" spans="2:4" x14ac:dyDescent="0.35">
      <c r="B481" s="2"/>
      <c r="C481" s="2"/>
      <c r="D481" s="2"/>
    </row>
    <row r="482" spans="2:4" x14ac:dyDescent="0.35">
      <c r="B482" s="2"/>
      <c r="C482" s="2"/>
      <c r="D482" s="2"/>
    </row>
    <row r="483" spans="2:4" x14ac:dyDescent="0.35">
      <c r="B483" s="2"/>
      <c r="C483" s="2"/>
      <c r="D483" s="2"/>
    </row>
    <row r="484" spans="2:4" x14ac:dyDescent="0.35">
      <c r="B484" s="2"/>
      <c r="C484" s="2"/>
      <c r="D484" s="2"/>
    </row>
    <row r="485" spans="2:4" x14ac:dyDescent="0.35">
      <c r="B485" s="2"/>
      <c r="C485" s="2"/>
      <c r="D485" s="2"/>
    </row>
    <row r="486" spans="2:4" x14ac:dyDescent="0.35">
      <c r="B486" s="2"/>
      <c r="C486" s="2"/>
      <c r="D486" s="2"/>
    </row>
    <row r="487" spans="2:4" x14ac:dyDescent="0.35">
      <c r="B487" s="2"/>
      <c r="C487" s="2"/>
      <c r="D487" s="2"/>
    </row>
    <row r="488" spans="2:4" x14ac:dyDescent="0.35">
      <c r="B488" s="2"/>
      <c r="C488" s="2"/>
      <c r="D488" s="2"/>
    </row>
    <row r="489" spans="2:4" x14ac:dyDescent="0.35">
      <c r="B489" s="2"/>
      <c r="C489" s="2"/>
      <c r="D489" s="2"/>
    </row>
    <row r="490" spans="2:4" x14ac:dyDescent="0.35">
      <c r="B490" s="2"/>
      <c r="C490" s="2"/>
      <c r="D490" s="2"/>
    </row>
    <row r="491" spans="2:4" x14ac:dyDescent="0.35">
      <c r="B491" s="2"/>
      <c r="C491" s="2"/>
      <c r="D491" s="2"/>
    </row>
    <row r="492" spans="2:4" x14ac:dyDescent="0.35">
      <c r="B492" s="2"/>
      <c r="C492" s="2"/>
      <c r="D492" s="2"/>
    </row>
    <row r="493" spans="2:4" x14ac:dyDescent="0.35">
      <c r="B493" s="2"/>
      <c r="C493" s="2"/>
      <c r="D493" s="2"/>
    </row>
    <row r="494" spans="2:4" x14ac:dyDescent="0.35">
      <c r="B494" s="2"/>
      <c r="C494" s="2"/>
      <c r="D494" s="2"/>
    </row>
    <row r="495" spans="2:4" x14ac:dyDescent="0.35">
      <c r="B495" s="2"/>
      <c r="C495" s="2"/>
      <c r="D495" s="2"/>
    </row>
    <row r="496" spans="2:4" x14ac:dyDescent="0.35">
      <c r="B496" s="2"/>
      <c r="C496" s="2"/>
      <c r="D496" s="2"/>
    </row>
    <row r="497" spans="2:4" x14ac:dyDescent="0.35">
      <c r="B497" s="2"/>
      <c r="C497" s="2"/>
      <c r="D497" s="2"/>
    </row>
    <row r="498" spans="2:4" x14ac:dyDescent="0.35">
      <c r="B498" s="2"/>
      <c r="C498" s="2"/>
      <c r="D498" s="2"/>
    </row>
    <row r="499" spans="2:4" x14ac:dyDescent="0.35">
      <c r="B499" s="2"/>
      <c r="C499" s="2"/>
      <c r="D499" s="2"/>
    </row>
    <row r="500" spans="2:4" x14ac:dyDescent="0.35">
      <c r="B500" s="2"/>
      <c r="C500" s="2"/>
      <c r="D500" s="2"/>
    </row>
    <row r="501" spans="2:4" x14ac:dyDescent="0.35">
      <c r="B501" s="2"/>
      <c r="C501" s="2"/>
      <c r="D501" s="2"/>
    </row>
    <row r="502" spans="2:4" x14ac:dyDescent="0.35">
      <c r="B502" s="2"/>
      <c r="C502" s="2"/>
      <c r="D502" s="2"/>
    </row>
    <row r="503" spans="2:4" x14ac:dyDescent="0.35">
      <c r="B503" s="2"/>
      <c r="C503" s="2"/>
      <c r="D503" s="2"/>
    </row>
    <row r="504" spans="2:4" x14ac:dyDescent="0.35">
      <c r="B504" s="2"/>
      <c r="C504" s="2"/>
      <c r="D504" s="2"/>
    </row>
    <row r="505" spans="2:4" x14ac:dyDescent="0.35">
      <c r="B505" s="2"/>
      <c r="C505" s="2"/>
      <c r="D505" s="2"/>
    </row>
    <row r="506" spans="2:4" x14ac:dyDescent="0.35">
      <c r="B506" s="2"/>
      <c r="C506" s="2"/>
      <c r="D506" s="2"/>
    </row>
    <row r="507" spans="2:4" x14ac:dyDescent="0.35">
      <c r="B507" s="2"/>
      <c r="C507" s="2"/>
      <c r="D507" s="2"/>
    </row>
    <row r="508" spans="2:4" x14ac:dyDescent="0.35">
      <c r="B508" s="2"/>
      <c r="C508" s="2"/>
      <c r="D508" s="2"/>
    </row>
    <row r="509" spans="2:4" x14ac:dyDescent="0.35">
      <c r="B509" s="2"/>
      <c r="C509" s="2"/>
      <c r="D509" s="2"/>
    </row>
    <row r="510" spans="2:4" x14ac:dyDescent="0.35">
      <c r="B510" s="2"/>
      <c r="C510" s="2"/>
      <c r="D510" s="2"/>
    </row>
    <row r="511" spans="2:4" x14ac:dyDescent="0.35">
      <c r="B511" s="2"/>
      <c r="C511" s="2"/>
      <c r="D511" s="2"/>
    </row>
    <row r="512" spans="2:4" x14ac:dyDescent="0.35">
      <c r="B512" s="2"/>
      <c r="C512" s="2"/>
      <c r="D512" s="2"/>
    </row>
    <row r="513" spans="2:4" x14ac:dyDescent="0.35">
      <c r="B513" s="2"/>
      <c r="C513" s="2"/>
      <c r="D513" s="2"/>
    </row>
    <row r="514" spans="2:4" x14ac:dyDescent="0.35">
      <c r="B514" s="2"/>
      <c r="C514" s="2"/>
      <c r="D514" s="2"/>
    </row>
    <row r="515" spans="2:4" x14ac:dyDescent="0.35">
      <c r="B515" s="2"/>
      <c r="C515" s="2"/>
      <c r="D515" s="2"/>
    </row>
    <row r="516" spans="2:4" x14ac:dyDescent="0.35">
      <c r="B516" s="2"/>
      <c r="C516" s="2"/>
      <c r="D516" s="2"/>
    </row>
    <row r="517" spans="2:4" x14ac:dyDescent="0.35">
      <c r="B517" s="2"/>
      <c r="C517" s="2"/>
      <c r="D517" s="2"/>
    </row>
    <row r="518" spans="2:4" x14ac:dyDescent="0.35">
      <c r="B518" s="2"/>
      <c r="C518" s="2"/>
      <c r="D518" s="2"/>
    </row>
    <row r="519" spans="2:4" x14ac:dyDescent="0.35">
      <c r="B519" s="2"/>
      <c r="C519" s="2"/>
      <c r="D519" s="2"/>
    </row>
    <row r="520" spans="2:4" x14ac:dyDescent="0.35">
      <c r="B520" s="2"/>
      <c r="C520" s="2"/>
      <c r="D520" s="2"/>
    </row>
    <row r="521" spans="2:4" x14ac:dyDescent="0.35">
      <c r="B521" s="2"/>
      <c r="C521" s="2"/>
      <c r="D521" s="2"/>
    </row>
    <row r="522" spans="2:4" x14ac:dyDescent="0.35">
      <c r="B522" s="2"/>
      <c r="C522" s="2"/>
      <c r="D522" s="2"/>
    </row>
    <row r="523" spans="2:4" x14ac:dyDescent="0.35">
      <c r="B523" s="2"/>
      <c r="C523" s="2"/>
      <c r="D523" s="2"/>
    </row>
    <row r="524" spans="2:4" x14ac:dyDescent="0.35">
      <c r="B524" s="2"/>
      <c r="C524" s="2"/>
      <c r="D524" s="2"/>
    </row>
    <row r="525" spans="2:4" x14ac:dyDescent="0.35">
      <c r="B525" s="2"/>
      <c r="C525" s="2"/>
      <c r="D525" s="2"/>
    </row>
    <row r="526" spans="2:4" x14ac:dyDescent="0.35">
      <c r="B526" s="2"/>
      <c r="C526" s="2"/>
      <c r="D526" s="2"/>
    </row>
    <row r="527" spans="2:4" x14ac:dyDescent="0.35">
      <c r="B527" s="2"/>
      <c r="C527" s="2"/>
      <c r="D527" s="2"/>
    </row>
    <row r="528" spans="2:4" x14ac:dyDescent="0.35">
      <c r="B528" s="2"/>
      <c r="C528" s="2"/>
      <c r="D528" s="2"/>
    </row>
    <row r="529" spans="2:4" x14ac:dyDescent="0.35">
      <c r="B529" s="2"/>
      <c r="C529" s="2"/>
      <c r="D529" s="2"/>
    </row>
    <row r="530" spans="2:4" x14ac:dyDescent="0.35">
      <c r="B530" s="2"/>
      <c r="C530" s="2"/>
      <c r="D530" s="2"/>
    </row>
    <row r="531" spans="2:4" x14ac:dyDescent="0.35">
      <c r="B531" s="2"/>
      <c r="C531" s="2"/>
      <c r="D531" s="2"/>
    </row>
    <row r="532" spans="2:4" x14ac:dyDescent="0.35">
      <c r="B532" s="2"/>
      <c r="C532" s="2"/>
      <c r="D532" s="2"/>
    </row>
    <row r="533" spans="2:4" x14ac:dyDescent="0.35">
      <c r="B533" s="2"/>
      <c r="C533" s="2"/>
      <c r="D533" s="2"/>
    </row>
    <row r="534" spans="2:4" x14ac:dyDescent="0.35">
      <c r="B534" s="2"/>
      <c r="C534" s="2"/>
      <c r="D534" s="2"/>
    </row>
    <row r="535" spans="2:4" x14ac:dyDescent="0.35">
      <c r="B535" s="2"/>
      <c r="C535" s="2"/>
      <c r="D535" s="2"/>
    </row>
    <row r="536" spans="2:4" x14ac:dyDescent="0.35">
      <c r="B536" s="2"/>
      <c r="C536" s="2"/>
      <c r="D536" s="2"/>
    </row>
    <row r="537" spans="2:4" x14ac:dyDescent="0.35">
      <c r="B537" s="2"/>
      <c r="C537" s="2"/>
      <c r="D537" s="2"/>
    </row>
    <row r="538" spans="2:4" x14ac:dyDescent="0.35">
      <c r="B538" s="2"/>
      <c r="C538" s="2"/>
      <c r="D538" s="2"/>
    </row>
    <row r="539" spans="2:4" x14ac:dyDescent="0.35">
      <c r="B539" s="2"/>
      <c r="C539" s="2"/>
      <c r="D539" s="2"/>
    </row>
    <row r="540" spans="2:4" x14ac:dyDescent="0.35">
      <c r="B540" s="2"/>
      <c r="C540" s="2"/>
      <c r="D540" s="2"/>
    </row>
    <row r="541" spans="2:4" x14ac:dyDescent="0.35">
      <c r="B541" s="2"/>
      <c r="C541" s="2"/>
      <c r="D541" s="2"/>
    </row>
    <row r="542" spans="2:4" x14ac:dyDescent="0.35">
      <c r="B542" s="2"/>
      <c r="C542" s="2"/>
      <c r="D542" s="2"/>
    </row>
    <row r="543" spans="2:4" x14ac:dyDescent="0.35">
      <c r="B543" s="2"/>
      <c r="C543" s="2"/>
      <c r="D543" s="2"/>
    </row>
    <row r="544" spans="2:4" x14ac:dyDescent="0.35">
      <c r="B544" s="2"/>
      <c r="C544" s="2"/>
      <c r="D544" s="2"/>
    </row>
    <row r="545" spans="2:4" x14ac:dyDescent="0.35">
      <c r="B545" s="2"/>
      <c r="C545" s="2"/>
      <c r="D545" s="2"/>
    </row>
    <row r="546" spans="2:4" x14ac:dyDescent="0.35">
      <c r="B546" s="2"/>
      <c r="C546" s="2"/>
      <c r="D546" s="2"/>
    </row>
    <row r="547" spans="2:4" x14ac:dyDescent="0.35">
      <c r="B547" s="2"/>
      <c r="C547" s="2"/>
      <c r="D547" s="2"/>
    </row>
    <row r="548" spans="2:4" x14ac:dyDescent="0.35">
      <c r="B548" s="2"/>
      <c r="C548" s="2"/>
      <c r="D548" s="2"/>
    </row>
    <row r="549" spans="2:4" x14ac:dyDescent="0.35">
      <c r="B549" s="2"/>
      <c r="C549" s="2"/>
      <c r="D549" s="2"/>
    </row>
    <row r="550" spans="2:4" x14ac:dyDescent="0.35">
      <c r="B550" s="2"/>
      <c r="C550" s="2"/>
      <c r="D550" s="2"/>
    </row>
    <row r="551" spans="2:4" x14ac:dyDescent="0.35">
      <c r="B551" s="2"/>
      <c r="C551" s="2"/>
      <c r="D551" s="2"/>
    </row>
    <row r="552" spans="2:4" x14ac:dyDescent="0.35">
      <c r="B552" s="2"/>
      <c r="C552" s="2"/>
      <c r="D552" s="2"/>
    </row>
    <row r="553" spans="2:4" x14ac:dyDescent="0.35">
      <c r="B553" s="2"/>
      <c r="C553" s="2"/>
      <c r="D553" s="2"/>
    </row>
    <row r="554" spans="2:4" x14ac:dyDescent="0.35">
      <c r="B554" s="2"/>
      <c r="C554" s="2"/>
      <c r="D554" s="2"/>
    </row>
    <row r="555" spans="2:4" x14ac:dyDescent="0.35">
      <c r="B555" s="2"/>
      <c r="C555" s="2"/>
      <c r="D555" s="2"/>
    </row>
    <row r="556" spans="2:4" x14ac:dyDescent="0.35">
      <c r="B556" s="2"/>
      <c r="C556" s="2"/>
      <c r="D556" s="2"/>
    </row>
    <row r="557" spans="2:4" x14ac:dyDescent="0.35">
      <c r="B557" s="2"/>
      <c r="C557" s="2"/>
      <c r="D557" s="2"/>
    </row>
    <row r="558" spans="2:4" x14ac:dyDescent="0.35">
      <c r="B558" s="2"/>
      <c r="C558" s="2"/>
      <c r="D558" s="2"/>
    </row>
    <row r="559" spans="2:4" x14ac:dyDescent="0.35">
      <c r="B559" s="2"/>
      <c r="C559" s="2"/>
      <c r="D559" s="2"/>
    </row>
    <row r="560" spans="2:4" x14ac:dyDescent="0.35">
      <c r="B560" s="2"/>
      <c r="C560" s="2"/>
      <c r="D560" s="2"/>
    </row>
    <row r="561" spans="2:4" x14ac:dyDescent="0.35">
      <c r="B561" s="2"/>
      <c r="C561" s="2"/>
      <c r="D561" s="2"/>
    </row>
    <row r="562" spans="2:4" x14ac:dyDescent="0.35">
      <c r="B562" s="2"/>
      <c r="C562" s="2"/>
      <c r="D562" s="2"/>
    </row>
    <row r="563" spans="2:4" x14ac:dyDescent="0.35">
      <c r="B563" s="2"/>
      <c r="C563" s="2"/>
      <c r="D563" s="2"/>
    </row>
    <row r="564" spans="2:4" x14ac:dyDescent="0.35">
      <c r="B564" s="2"/>
      <c r="C564" s="2"/>
      <c r="D564" s="2"/>
    </row>
    <row r="565" spans="2:4" x14ac:dyDescent="0.35">
      <c r="B565" s="2"/>
      <c r="C565" s="2"/>
      <c r="D565" s="2"/>
    </row>
    <row r="566" spans="2:4" x14ac:dyDescent="0.35">
      <c r="B566" s="2"/>
      <c r="C566" s="2"/>
      <c r="D566" s="2"/>
    </row>
    <row r="567" spans="2:4" x14ac:dyDescent="0.35">
      <c r="B567" s="2"/>
      <c r="C567" s="2"/>
      <c r="D567" s="2"/>
    </row>
    <row r="568" spans="2:4" x14ac:dyDescent="0.35">
      <c r="B568" s="2"/>
      <c r="C568" s="2"/>
      <c r="D568" s="2"/>
    </row>
    <row r="569" spans="2:4" x14ac:dyDescent="0.35">
      <c r="B569" s="2"/>
      <c r="C569" s="2"/>
      <c r="D569" s="2"/>
    </row>
    <row r="570" spans="2:4" x14ac:dyDescent="0.35">
      <c r="B570" s="2"/>
      <c r="C570" s="2"/>
      <c r="D570" s="2"/>
    </row>
    <row r="571" spans="2:4" x14ac:dyDescent="0.35">
      <c r="B571" s="2"/>
      <c r="C571" s="2"/>
      <c r="D571" s="2"/>
    </row>
    <row r="572" spans="2:4" x14ac:dyDescent="0.35">
      <c r="B572" s="2"/>
      <c r="C572" s="2"/>
      <c r="D572" s="2"/>
    </row>
    <row r="573" spans="2:4" x14ac:dyDescent="0.35">
      <c r="B573" s="2"/>
      <c r="C573" s="2"/>
      <c r="D573" s="2"/>
    </row>
    <row r="574" spans="2:4" x14ac:dyDescent="0.35">
      <c r="B574" s="2"/>
      <c r="C574" s="2"/>
      <c r="D574" s="2"/>
    </row>
    <row r="575" spans="2:4" x14ac:dyDescent="0.35">
      <c r="B575" s="2"/>
      <c r="C575" s="2"/>
      <c r="D575" s="2"/>
    </row>
    <row r="576" spans="2:4" x14ac:dyDescent="0.35">
      <c r="B576" s="2"/>
      <c r="C576" s="2"/>
      <c r="D576" s="2"/>
    </row>
    <row r="577" spans="2:4" x14ac:dyDescent="0.35">
      <c r="B577" s="2"/>
      <c r="C577" s="2"/>
      <c r="D577" s="2"/>
    </row>
    <row r="578" spans="2:4" x14ac:dyDescent="0.35">
      <c r="B578" s="2"/>
      <c r="C578" s="2"/>
      <c r="D578" s="2"/>
    </row>
    <row r="579" spans="2:4" x14ac:dyDescent="0.35">
      <c r="B579" s="2"/>
      <c r="C579" s="2"/>
      <c r="D579" s="2"/>
    </row>
    <row r="580" spans="2:4" x14ac:dyDescent="0.35">
      <c r="B580" s="2"/>
      <c r="C580" s="2"/>
      <c r="D580" s="2"/>
    </row>
    <row r="581" spans="2:4" x14ac:dyDescent="0.35">
      <c r="B581" s="2"/>
      <c r="C581" s="2"/>
      <c r="D581" s="2"/>
    </row>
    <row r="582" spans="2:4" x14ac:dyDescent="0.35">
      <c r="B582" s="2"/>
      <c r="C582" s="2"/>
      <c r="D582" s="2"/>
    </row>
    <row r="583" spans="2:4" x14ac:dyDescent="0.35">
      <c r="B583" s="2"/>
      <c r="C583" s="2"/>
      <c r="D583" s="2"/>
    </row>
    <row r="584" spans="2:4" x14ac:dyDescent="0.35">
      <c r="B584" s="2"/>
      <c r="C584" s="2"/>
      <c r="D584" s="2"/>
    </row>
    <row r="585" spans="2:4" x14ac:dyDescent="0.35">
      <c r="B585" s="2"/>
      <c r="C585" s="2"/>
      <c r="D585" s="2"/>
    </row>
    <row r="586" spans="2:4" x14ac:dyDescent="0.35">
      <c r="B586" s="2"/>
      <c r="C586" s="2"/>
      <c r="D586" s="2"/>
    </row>
    <row r="587" spans="2:4" x14ac:dyDescent="0.35">
      <c r="B587" s="2"/>
      <c r="C587" s="2"/>
      <c r="D587" s="2"/>
    </row>
    <row r="588" spans="2:4" x14ac:dyDescent="0.35">
      <c r="B588" s="2"/>
      <c r="C588" s="2"/>
      <c r="D588" s="2"/>
    </row>
    <row r="589" spans="2:4" x14ac:dyDescent="0.35">
      <c r="B589" s="2"/>
      <c r="C589" s="2"/>
      <c r="D589" s="2"/>
    </row>
    <row r="590" spans="2:4" x14ac:dyDescent="0.35">
      <c r="B590" s="2"/>
      <c r="C590" s="2"/>
      <c r="D590" s="2"/>
    </row>
    <row r="591" spans="2:4" x14ac:dyDescent="0.35">
      <c r="B591" s="2"/>
      <c r="C591" s="2"/>
      <c r="D591" s="2"/>
    </row>
    <row r="592" spans="2:4" x14ac:dyDescent="0.35">
      <c r="B592" s="2"/>
      <c r="C592" s="2"/>
      <c r="D592" s="2"/>
    </row>
    <row r="593" spans="2:4" x14ac:dyDescent="0.35">
      <c r="B593" s="2"/>
      <c r="C593" s="2"/>
      <c r="D593" s="2"/>
    </row>
    <row r="594" spans="2:4" x14ac:dyDescent="0.35">
      <c r="B594" s="2"/>
      <c r="C594" s="2"/>
      <c r="D594" s="2"/>
    </row>
    <row r="595" spans="2:4" x14ac:dyDescent="0.35">
      <c r="B595" s="2"/>
      <c r="C595" s="2"/>
      <c r="D595" s="2"/>
    </row>
    <row r="596" spans="2:4" x14ac:dyDescent="0.35">
      <c r="B596" s="2"/>
      <c r="C596" s="2"/>
      <c r="D596" s="2"/>
    </row>
    <row r="597" spans="2:4" x14ac:dyDescent="0.35">
      <c r="B597" s="2"/>
      <c r="C597" s="2"/>
      <c r="D597" s="2"/>
    </row>
    <row r="598" spans="2:4" x14ac:dyDescent="0.35">
      <c r="B598" s="2"/>
      <c r="C598" s="2"/>
      <c r="D598" s="2"/>
    </row>
    <row r="599" spans="2:4" x14ac:dyDescent="0.35">
      <c r="B599" s="2"/>
      <c r="C599" s="2"/>
      <c r="D599" s="2"/>
    </row>
    <row r="600" spans="2:4" x14ac:dyDescent="0.35">
      <c r="B600" s="2"/>
      <c r="C600" s="2"/>
      <c r="D600" s="2"/>
    </row>
    <row r="601" spans="2:4" x14ac:dyDescent="0.35">
      <c r="B601" s="2"/>
      <c r="C601" s="2"/>
      <c r="D601" s="2"/>
    </row>
    <row r="602" spans="2:4" x14ac:dyDescent="0.35">
      <c r="B602" s="2"/>
      <c r="C602" s="2"/>
      <c r="D602" s="2"/>
    </row>
    <row r="603" spans="2:4" x14ac:dyDescent="0.35">
      <c r="B603" s="2"/>
      <c r="C603" s="2"/>
      <c r="D603" s="2"/>
    </row>
    <row r="604" spans="2:4" x14ac:dyDescent="0.35">
      <c r="B604" s="2"/>
      <c r="C604" s="2"/>
      <c r="D604" s="2"/>
    </row>
    <row r="605" spans="2:4" x14ac:dyDescent="0.35">
      <c r="B605" s="2"/>
      <c r="C605" s="2"/>
      <c r="D605" s="2"/>
    </row>
    <row r="606" spans="2:4" x14ac:dyDescent="0.35">
      <c r="B606" s="2"/>
      <c r="C606" s="2"/>
      <c r="D606" s="2"/>
    </row>
    <row r="607" spans="2:4" x14ac:dyDescent="0.35">
      <c r="B607" s="2"/>
      <c r="C607" s="2"/>
      <c r="D607" s="2"/>
    </row>
    <row r="608" spans="2:4" x14ac:dyDescent="0.35">
      <c r="B608" s="2"/>
      <c r="C608" s="2"/>
      <c r="D608" s="2"/>
    </row>
    <row r="609" spans="2:4" x14ac:dyDescent="0.35">
      <c r="B609" s="2"/>
      <c r="C609" s="2"/>
      <c r="D609" s="2"/>
    </row>
    <row r="610" spans="2:4" x14ac:dyDescent="0.35">
      <c r="B610" s="2"/>
      <c r="C610" s="2"/>
      <c r="D610" s="2"/>
    </row>
    <row r="611" spans="2:4" x14ac:dyDescent="0.35">
      <c r="B611" s="2"/>
      <c r="C611" s="2"/>
      <c r="D611" s="2"/>
    </row>
    <row r="612" spans="2:4" x14ac:dyDescent="0.35">
      <c r="B612" s="2"/>
      <c r="C612" s="2"/>
      <c r="D612" s="2"/>
    </row>
    <row r="613" spans="2:4" x14ac:dyDescent="0.35">
      <c r="B613" s="2"/>
      <c r="C613" s="2"/>
      <c r="D613" s="2"/>
    </row>
    <row r="614" spans="2:4" x14ac:dyDescent="0.35">
      <c r="B614" s="2"/>
      <c r="C614" s="2"/>
      <c r="D614" s="2"/>
    </row>
    <row r="615" spans="2:4" x14ac:dyDescent="0.35">
      <c r="B615" s="2"/>
      <c r="C615" s="2"/>
      <c r="D615" s="2"/>
    </row>
    <row r="616" spans="2:4" x14ac:dyDescent="0.35">
      <c r="B616" s="2"/>
      <c r="C616" s="2"/>
      <c r="D616" s="2"/>
    </row>
    <row r="617" spans="2:4" x14ac:dyDescent="0.35">
      <c r="B617" s="2"/>
      <c r="C617" s="2"/>
      <c r="D617" s="2"/>
    </row>
    <row r="618" spans="2:4" x14ac:dyDescent="0.35">
      <c r="B618" s="2"/>
      <c r="C618" s="2"/>
      <c r="D618" s="2"/>
    </row>
    <row r="619" spans="2:4" x14ac:dyDescent="0.35">
      <c r="B619" s="2"/>
      <c r="C619" s="2"/>
      <c r="D619" s="2"/>
    </row>
    <row r="620" spans="2:4" x14ac:dyDescent="0.35">
      <c r="B620" s="2"/>
      <c r="C620" s="2"/>
      <c r="D620" s="2"/>
    </row>
    <row r="621" spans="2:4" x14ac:dyDescent="0.35">
      <c r="B621" s="2"/>
      <c r="C621" s="2"/>
      <c r="D621" s="2"/>
    </row>
    <row r="622" spans="2:4" x14ac:dyDescent="0.35">
      <c r="B622" s="2"/>
      <c r="C622" s="2"/>
      <c r="D622" s="2"/>
    </row>
    <row r="623" spans="2:4" x14ac:dyDescent="0.35">
      <c r="B623" s="2"/>
      <c r="C623" s="2"/>
      <c r="D623" s="2"/>
    </row>
    <row r="624" spans="2:4" x14ac:dyDescent="0.35">
      <c r="B624" s="2"/>
      <c r="C624" s="2"/>
      <c r="D624" s="2"/>
    </row>
    <row r="625" spans="2:4" x14ac:dyDescent="0.35">
      <c r="B625" s="2"/>
      <c r="C625" s="2"/>
      <c r="D625" s="2"/>
    </row>
    <row r="626" spans="2:4" x14ac:dyDescent="0.35">
      <c r="B626" s="2"/>
      <c r="C626" s="2"/>
      <c r="D626" s="2"/>
    </row>
    <row r="627" spans="2:4" x14ac:dyDescent="0.35">
      <c r="B627" s="2"/>
      <c r="C627" s="2"/>
      <c r="D627" s="2"/>
    </row>
    <row r="628" spans="2:4" x14ac:dyDescent="0.35">
      <c r="B628" s="2"/>
      <c r="C628" s="2"/>
      <c r="D628" s="2"/>
    </row>
    <row r="629" spans="2:4" x14ac:dyDescent="0.35">
      <c r="B629" s="2"/>
      <c r="C629" s="2"/>
      <c r="D629" s="2"/>
    </row>
    <row r="630" spans="2:4" x14ac:dyDescent="0.35">
      <c r="B630" s="2"/>
      <c r="C630" s="2"/>
      <c r="D630" s="2"/>
    </row>
    <row r="631" spans="2:4" x14ac:dyDescent="0.35">
      <c r="B631" s="2"/>
      <c r="C631" s="2"/>
      <c r="D631" s="2"/>
    </row>
    <row r="632" spans="2:4" x14ac:dyDescent="0.35">
      <c r="B632" s="2"/>
      <c r="C632" s="2"/>
      <c r="D632" s="2"/>
    </row>
    <row r="633" spans="2:4" x14ac:dyDescent="0.35">
      <c r="B633" s="2"/>
      <c r="C633" s="2"/>
      <c r="D633" s="2"/>
    </row>
    <row r="634" spans="2:4" x14ac:dyDescent="0.35">
      <c r="B634" s="2"/>
      <c r="C634" s="2"/>
      <c r="D634" s="2"/>
    </row>
    <row r="635" spans="2:4" x14ac:dyDescent="0.35">
      <c r="B635" s="2"/>
      <c r="C635" s="2"/>
      <c r="D635" s="2"/>
    </row>
    <row r="636" spans="2:4" x14ac:dyDescent="0.35">
      <c r="B636" s="2"/>
      <c r="C636" s="2"/>
      <c r="D636" s="2"/>
    </row>
    <row r="637" spans="2:4" x14ac:dyDescent="0.35">
      <c r="B637" s="2"/>
      <c r="C637" s="2"/>
      <c r="D637" s="2"/>
    </row>
    <row r="638" spans="2:4" x14ac:dyDescent="0.35">
      <c r="B638" s="2"/>
      <c r="C638" s="2"/>
      <c r="D638" s="2"/>
    </row>
    <row r="639" spans="2:4" x14ac:dyDescent="0.35">
      <c r="B639" s="2"/>
      <c r="C639" s="2"/>
      <c r="D639" s="2"/>
    </row>
    <row r="640" spans="2:4" x14ac:dyDescent="0.35">
      <c r="B640" s="2"/>
      <c r="C640" s="2"/>
      <c r="D640" s="2"/>
    </row>
    <row r="641" spans="2:4" x14ac:dyDescent="0.35">
      <c r="B641" s="2"/>
      <c r="C641" s="2"/>
      <c r="D641" s="2"/>
    </row>
    <row r="642" spans="2:4" x14ac:dyDescent="0.35">
      <c r="B642" s="2"/>
      <c r="C642" s="2"/>
      <c r="D642" s="2"/>
    </row>
    <row r="643" spans="2:4" x14ac:dyDescent="0.35">
      <c r="B643" s="2"/>
      <c r="C643" s="2"/>
      <c r="D643" s="2"/>
    </row>
    <row r="644" spans="2:4" x14ac:dyDescent="0.35">
      <c r="B644" s="2"/>
      <c r="C644" s="2"/>
      <c r="D644" s="2"/>
    </row>
    <row r="645" spans="2:4" x14ac:dyDescent="0.35">
      <c r="B645" s="2"/>
      <c r="C645" s="2"/>
      <c r="D645" s="2"/>
    </row>
    <row r="646" spans="2:4" x14ac:dyDescent="0.35">
      <c r="B646" s="2"/>
      <c r="C646" s="2"/>
      <c r="D646" s="2"/>
    </row>
    <row r="647" spans="2:4" x14ac:dyDescent="0.35">
      <c r="B647" s="2"/>
      <c r="C647" s="2"/>
      <c r="D647" s="2"/>
    </row>
    <row r="648" spans="2:4" x14ac:dyDescent="0.35">
      <c r="B648" s="2"/>
      <c r="C648" s="2"/>
      <c r="D648" s="2"/>
    </row>
    <row r="649" spans="2:4" x14ac:dyDescent="0.35">
      <c r="B649" s="2"/>
      <c r="C649" s="2"/>
      <c r="D649" s="2"/>
    </row>
    <row r="650" spans="2:4" x14ac:dyDescent="0.35">
      <c r="B650" s="2"/>
      <c r="C650" s="2"/>
      <c r="D650" s="2"/>
    </row>
    <row r="651" spans="2:4" x14ac:dyDescent="0.35">
      <c r="B651" s="2"/>
      <c r="C651" s="2"/>
      <c r="D651" s="2"/>
    </row>
    <row r="652" spans="2:4" x14ac:dyDescent="0.35">
      <c r="B652" s="2"/>
      <c r="C652" s="2"/>
      <c r="D652" s="2"/>
    </row>
    <row r="653" spans="2:4" x14ac:dyDescent="0.35">
      <c r="B653" s="2"/>
      <c r="C653" s="2"/>
      <c r="D653" s="2"/>
    </row>
    <row r="654" spans="2:4" x14ac:dyDescent="0.35">
      <c r="B654" s="2"/>
      <c r="C654" s="2"/>
      <c r="D654" s="2"/>
    </row>
    <row r="655" spans="2:4" x14ac:dyDescent="0.35">
      <c r="B655" s="2"/>
      <c r="C655" s="2"/>
      <c r="D655" s="2"/>
    </row>
    <row r="656" spans="2:4" x14ac:dyDescent="0.35">
      <c r="B656" s="2"/>
      <c r="C656" s="2"/>
      <c r="D656" s="2"/>
    </row>
    <row r="657" spans="2:4" x14ac:dyDescent="0.35">
      <c r="B657" s="2"/>
      <c r="C657" s="2"/>
      <c r="D657" s="2"/>
    </row>
    <row r="658" spans="2:4" x14ac:dyDescent="0.35">
      <c r="B658" s="2"/>
      <c r="C658" s="2"/>
      <c r="D658" s="2"/>
    </row>
    <row r="659" spans="2:4" x14ac:dyDescent="0.35">
      <c r="B659" s="2"/>
      <c r="C659" s="2"/>
      <c r="D659" s="2"/>
    </row>
    <row r="660" spans="2:4" x14ac:dyDescent="0.35">
      <c r="B660" s="2"/>
      <c r="C660" s="2"/>
      <c r="D660" s="2"/>
    </row>
    <row r="661" spans="2:4" x14ac:dyDescent="0.35">
      <c r="B661" s="2"/>
      <c r="C661" s="2"/>
      <c r="D661" s="2"/>
    </row>
    <row r="662" spans="2:4" x14ac:dyDescent="0.35">
      <c r="B662" s="2"/>
      <c r="C662" s="2"/>
      <c r="D662" s="2"/>
    </row>
    <row r="663" spans="2:4" x14ac:dyDescent="0.35">
      <c r="B663" s="2"/>
      <c r="C663" s="2"/>
      <c r="D663" s="2"/>
    </row>
    <row r="664" spans="2:4" x14ac:dyDescent="0.35">
      <c r="B664" s="2"/>
      <c r="C664" s="2"/>
      <c r="D664" s="2"/>
    </row>
    <row r="665" spans="2:4" x14ac:dyDescent="0.35">
      <c r="B665" s="2"/>
      <c r="C665" s="2"/>
      <c r="D665" s="2"/>
    </row>
    <row r="666" spans="2:4" x14ac:dyDescent="0.35">
      <c r="B666" s="2"/>
      <c r="C666" s="2"/>
      <c r="D666" s="2"/>
    </row>
    <row r="667" spans="2:4" x14ac:dyDescent="0.35">
      <c r="B667" s="2"/>
      <c r="C667" s="2"/>
      <c r="D667" s="2"/>
    </row>
    <row r="668" spans="2:4" x14ac:dyDescent="0.35">
      <c r="B668" s="2"/>
      <c r="C668" s="2"/>
      <c r="D668" s="2"/>
    </row>
    <row r="669" spans="2:4" x14ac:dyDescent="0.35">
      <c r="B669" s="2"/>
      <c r="C669" s="2"/>
      <c r="D669" s="2"/>
    </row>
    <row r="670" spans="2:4" x14ac:dyDescent="0.35">
      <c r="B670" s="2"/>
      <c r="C670" s="2"/>
      <c r="D670" s="2"/>
    </row>
    <row r="671" spans="2:4" x14ac:dyDescent="0.35">
      <c r="B671" s="2"/>
      <c r="C671" s="2"/>
      <c r="D671" s="2"/>
    </row>
    <row r="672" spans="2:4" x14ac:dyDescent="0.35">
      <c r="B672" s="2"/>
      <c r="C672" s="2"/>
      <c r="D672" s="2"/>
    </row>
    <row r="673" spans="2:4" x14ac:dyDescent="0.35">
      <c r="B673" s="2"/>
      <c r="C673" s="2"/>
      <c r="D673" s="2"/>
    </row>
    <row r="674" spans="2:4" x14ac:dyDescent="0.35">
      <c r="B674" s="2"/>
      <c r="C674" s="2"/>
      <c r="D674" s="2"/>
    </row>
    <row r="675" spans="2:4" x14ac:dyDescent="0.35">
      <c r="B675" s="2"/>
      <c r="C675" s="2"/>
      <c r="D675" s="2"/>
    </row>
    <row r="676" spans="2:4" x14ac:dyDescent="0.35">
      <c r="B676" s="2"/>
      <c r="C676" s="2"/>
      <c r="D676" s="2"/>
    </row>
    <row r="677" spans="2:4" x14ac:dyDescent="0.35">
      <c r="B677" s="2"/>
      <c r="C677" s="2"/>
      <c r="D677" s="2"/>
    </row>
    <row r="678" spans="2:4" x14ac:dyDescent="0.35">
      <c r="B678" s="2"/>
      <c r="C678" s="2"/>
      <c r="D678" s="2"/>
    </row>
    <row r="679" spans="2:4" x14ac:dyDescent="0.35">
      <c r="B679" s="2"/>
      <c r="C679" s="2"/>
      <c r="D679" s="2"/>
    </row>
    <row r="680" spans="2:4" x14ac:dyDescent="0.35">
      <c r="B680" s="2"/>
      <c r="C680" s="2"/>
      <c r="D680" s="2"/>
    </row>
  </sheetData>
  <mergeCells count="3">
    <mergeCell ref="B26:D26"/>
    <mergeCell ref="F26:G26"/>
    <mergeCell ref="I26:J2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1D327-951A-41D8-9502-E28415E2BCBC}">
  <dimension ref="B2:M12"/>
  <sheetViews>
    <sheetView showGridLines="0" workbookViewId="0">
      <selection activeCell="B13" sqref="B13"/>
    </sheetView>
  </sheetViews>
  <sheetFormatPr defaultRowHeight="14.5" x14ac:dyDescent="0.35"/>
  <cols>
    <col min="1" max="1" width="5" customWidth="1"/>
    <col min="2" max="2" width="35.453125" customWidth="1"/>
    <col min="3" max="3" width="20.7265625" bestFit="1" customWidth="1"/>
  </cols>
  <sheetData>
    <row r="2" spans="2:13" ht="21" x14ac:dyDescent="0.5">
      <c r="B2" s="76" t="s">
        <v>355</v>
      </c>
      <c r="C2" s="77"/>
      <c r="D2" s="77"/>
      <c r="E2" s="87"/>
      <c r="F2" s="87"/>
      <c r="G2" s="87"/>
      <c r="H2" s="87"/>
      <c r="I2" s="87"/>
      <c r="J2" s="87"/>
      <c r="K2" s="87"/>
      <c r="L2" s="87"/>
      <c r="M2" s="87"/>
    </row>
    <row r="3" spans="2:13" x14ac:dyDescent="0.35">
      <c r="B3" s="72" t="s">
        <v>172</v>
      </c>
      <c r="C3" s="74">
        <v>2025</v>
      </c>
      <c r="D3" s="75">
        <v>2026</v>
      </c>
      <c r="E3" s="75">
        <v>2027</v>
      </c>
      <c r="F3" s="75">
        <v>2028</v>
      </c>
      <c r="G3" s="75">
        <v>2029</v>
      </c>
      <c r="H3" s="75">
        <v>2030</v>
      </c>
      <c r="I3" s="75">
        <v>2031</v>
      </c>
      <c r="J3" s="75">
        <v>2032</v>
      </c>
      <c r="K3" s="75">
        <v>2033</v>
      </c>
      <c r="L3" s="75">
        <v>2034</v>
      </c>
      <c r="M3" s="75">
        <v>2035</v>
      </c>
    </row>
    <row r="4" spans="2:13" x14ac:dyDescent="0.35">
      <c r="B4" s="12" t="s">
        <v>464</v>
      </c>
    </row>
    <row r="5" spans="2:13" x14ac:dyDescent="0.35">
      <c r="B5" s="150" t="s">
        <v>349</v>
      </c>
      <c r="C5" s="14">
        <f>'Balance Sheet'!G16</f>
        <v>7718.0420323999997</v>
      </c>
      <c r="D5" s="14"/>
      <c r="E5" s="14"/>
      <c r="F5" s="14"/>
    </row>
    <row r="6" spans="2:13" x14ac:dyDescent="0.35">
      <c r="B6" s="150" t="s">
        <v>350</v>
      </c>
      <c r="C6" s="14">
        <f>'Balance Sheet'!G17</f>
        <v>21.172201099999999</v>
      </c>
      <c r="D6" s="14"/>
      <c r="E6" s="14"/>
      <c r="F6" s="14"/>
    </row>
    <row r="7" spans="2:13" x14ac:dyDescent="0.35">
      <c r="B7" s="150" t="s">
        <v>135</v>
      </c>
      <c r="C7" s="14">
        <f>'Balance Sheet'!G18</f>
        <v>4.6082638999999999</v>
      </c>
      <c r="D7" s="14"/>
      <c r="E7" s="14"/>
      <c r="F7" s="14"/>
    </row>
    <row r="8" spans="2:13" x14ac:dyDescent="0.35">
      <c r="B8" s="90" t="s">
        <v>465</v>
      </c>
      <c r="C8" s="91">
        <f>SUM(C5:C7)</f>
        <v>7743.8224973999995</v>
      </c>
      <c r="D8" s="91">
        <f>C11</f>
        <v>7743.8224973999995</v>
      </c>
      <c r="E8" s="91">
        <f>D11</f>
        <v>8198.2319847067174</v>
      </c>
      <c r="F8" s="91">
        <f t="shared" ref="F8:M8" si="0">E11</f>
        <v>8649.5824446045972</v>
      </c>
      <c r="G8" s="91">
        <f t="shared" si="0"/>
        <v>9139.2434803890901</v>
      </c>
      <c r="H8" s="91">
        <f t="shared" si="0"/>
        <v>9665.5073244237374</v>
      </c>
      <c r="I8" s="91">
        <f t="shared" si="0"/>
        <v>10224.231436326478</v>
      </c>
      <c r="J8" s="91">
        <f t="shared" si="0"/>
        <v>10807.046114512594</v>
      </c>
      <c r="K8" s="91">
        <f t="shared" si="0"/>
        <v>11412.984071490853</v>
      </c>
      <c r="L8" s="91">
        <f t="shared" si="0"/>
        <v>12041.322344937875</v>
      </c>
      <c r="M8" s="91">
        <f t="shared" si="0"/>
        <v>12688.360013485828</v>
      </c>
    </row>
    <row r="9" spans="2:13" x14ac:dyDescent="0.35">
      <c r="B9" t="s">
        <v>466</v>
      </c>
      <c r="C9" s="14"/>
      <c r="D9" s="14">
        <f>-'Cash Flow Statement'!H19</f>
        <v>704.00983709490345</v>
      </c>
      <c r="E9" s="14">
        <f>-'Cash Flow Statement'!I19</f>
        <v>715.59742213319998</v>
      </c>
      <c r="F9" s="14">
        <f>-'Cash Flow Statement'!J19</f>
        <v>768.45601131755984</v>
      </c>
      <c r="G9" s="14">
        <f>-'Cash Flow Statement'!K19</f>
        <v>820.84166658551283</v>
      </c>
      <c r="H9" s="14">
        <f>-'Cash Flow Statement'!L19</f>
        <v>870.26457010234674</v>
      </c>
      <c r="I9" s="14">
        <f>-'Cash Flow Statement'!M19</f>
        <v>912.36403752115541</v>
      </c>
      <c r="J9" s="14">
        <f>-'Cash Flow Statement'!N19</f>
        <v>954.27270913264522</v>
      </c>
      <c r="K9" s="14">
        <f>-'Cash Flow Statement'!O19</f>
        <v>996.20373231149597</v>
      </c>
      <c r="L9" s="14">
        <f>-'Cash Flow Statement'!P19</f>
        <v>1035.1558453550631</v>
      </c>
      <c r="M9" s="14">
        <f>-'Cash Flow Statement'!Q19</f>
        <v>1073.5167932877446</v>
      </c>
    </row>
    <row r="10" spans="2:13" x14ac:dyDescent="0.35">
      <c r="B10" t="s">
        <v>468</v>
      </c>
      <c r="C10" s="14"/>
      <c r="D10" s="14">
        <f>D8*Assumptions!D25</f>
        <v>249.60034978818405</v>
      </c>
      <c r="E10" s="14">
        <f>E8*Assumptions!E25</f>
        <v>264.24696223531947</v>
      </c>
      <c r="F10" s="14">
        <f>F8*Assumptions!F25</f>
        <v>278.79497553306658</v>
      </c>
      <c r="G10" s="14">
        <f>G8*Assumptions!G25</f>
        <v>294.57782255086551</v>
      </c>
      <c r="H10" s="14">
        <f>H8*Assumptions!H25</f>
        <v>311.54045819960686</v>
      </c>
      <c r="I10" s="14">
        <f>I8*Assumptions!I25</f>
        <v>329.54935933503958</v>
      </c>
      <c r="J10" s="14">
        <f>J8*Assumptions!J25</f>
        <v>348.33475215438489</v>
      </c>
      <c r="K10" s="14">
        <f>K8*Assumptions!K25</f>
        <v>367.86545886447425</v>
      </c>
      <c r="L10" s="14">
        <f>L8*Assumptions!L25</f>
        <v>388.1181768071101</v>
      </c>
      <c r="M10" s="14">
        <f>M8*Assumptions!M25</f>
        <v>408.9736171855439</v>
      </c>
    </row>
    <row r="11" spans="2:13" ht="15" thickBot="1" x14ac:dyDescent="0.4">
      <c r="B11" s="131" t="s">
        <v>467</v>
      </c>
      <c r="C11" s="79">
        <f>C8+C9-C10</f>
        <v>7743.8224973999995</v>
      </c>
      <c r="D11" s="79">
        <f t="shared" ref="D11:M11" si="1">D8+D9-D10</f>
        <v>8198.2319847067174</v>
      </c>
      <c r="E11" s="79">
        <f t="shared" si="1"/>
        <v>8649.5824446045972</v>
      </c>
      <c r="F11" s="79">
        <f t="shared" si="1"/>
        <v>9139.2434803890901</v>
      </c>
      <c r="G11" s="79">
        <f t="shared" si="1"/>
        <v>9665.5073244237374</v>
      </c>
      <c r="H11" s="79">
        <f t="shared" si="1"/>
        <v>10224.231436326478</v>
      </c>
      <c r="I11" s="79">
        <f t="shared" si="1"/>
        <v>10807.046114512594</v>
      </c>
      <c r="J11" s="79">
        <f t="shared" si="1"/>
        <v>11412.984071490853</v>
      </c>
      <c r="K11" s="79">
        <f t="shared" si="1"/>
        <v>12041.322344937875</v>
      </c>
      <c r="L11" s="79">
        <f t="shared" si="1"/>
        <v>12688.360013485828</v>
      </c>
      <c r="M11" s="79">
        <f t="shared" si="1"/>
        <v>13352.903189588029</v>
      </c>
    </row>
    <row r="12" spans="2:13" x14ac:dyDescent="0.35">
      <c r="B12" s="151"/>
      <c r="C12" s="11"/>
      <c r="D12" s="11"/>
      <c r="E12" s="11"/>
      <c r="F12" s="1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894E-7CB9-45B3-AE47-4FABEEE713CB}">
  <dimension ref="B2:S22"/>
  <sheetViews>
    <sheetView showGridLines="0" workbookViewId="0">
      <selection activeCell="C4" sqref="C4"/>
    </sheetView>
  </sheetViews>
  <sheetFormatPr defaultRowHeight="14.5" x14ac:dyDescent="0.35"/>
  <cols>
    <col min="1" max="1" width="4.81640625" customWidth="1"/>
    <col min="2" max="2" width="34.81640625" bestFit="1" customWidth="1"/>
  </cols>
  <sheetData>
    <row r="2" spans="2:19" ht="21" x14ac:dyDescent="0.5">
      <c r="B2" s="76" t="s">
        <v>385</v>
      </c>
      <c r="C2" s="77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</row>
    <row r="3" spans="2:19" x14ac:dyDescent="0.35">
      <c r="B3" s="74"/>
      <c r="C3" s="74">
        <v>2021</v>
      </c>
      <c r="D3" s="74">
        <v>2022</v>
      </c>
      <c r="E3" s="74">
        <v>2023</v>
      </c>
      <c r="F3" s="74">
        <v>2024</v>
      </c>
      <c r="G3" s="74">
        <v>2025</v>
      </c>
      <c r="H3" s="75">
        <v>2026</v>
      </c>
      <c r="I3" s="75">
        <v>2027</v>
      </c>
      <c r="J3" s="75">
        <v>2028</v>
      </c>
      <c r="K3" s="75">
        <v>2029</v>
      </c>
      <c r="L3" s="75">
        <v>2030</v>
      </c>
      <c r="M3" s="75">
        <v>2031</v>
      </c>
      <c r="N3" s="75">
        <v>2032</v>
      </c>
      <c r="O3" s="75">
        <v>2033</v>
      </c>
      <c r="P3" s="75">
        <v>2034</v>
      </c>
      <c r="Q3" s="75">
        <v>2035</v>
      </c>
    </row>
    <row r="4" spans="2:19" x14ac:dyDescent="0.35">
      <c r="B4" s="12" t="s">
        <v>386</v>
      </c>
      <c r="S4" t="s">
        <v>387</v>
      </c>
    </row>
    <row r="5" spans="2:19" x14ac:dyDescent="0.35">
      <c r="B5" s="2" t="s">
        <v>24</v>
      </c>
      <c r="C5" s="14">
        <f>'Balance Sheet'!C10</f>
        <v>2413.0561864000001</v>
      </c>
      <c r="D5" s="14">
        <f>'Balance Sheet'!D10</f>
        <v>3619.7619159000001</v>
      </c>
      <c r="E5" s="14">
        <f>'Balance Sheet'!E10</f>
        <v>2557.3533341000002</v>
      </c>
      <c r="F5" s="14">
        <f>'Balance Sheet'!F10</f>
        <v>2618.2663524999998</v>
      </c>
      <c r="G5" s="14">
        <f>'Balance Sheet'!G10</f>
        <v>2964.8739753</v>
      </c>
      <c r="H5" s="14">
        <f>(H6/365)*'Income Statement'!H8</f>
        <v>2633.5903718739532</v>
      </c>
      <c r="I5" s="14">
        <f>(I6/365)*'Income Statement'!I8</f>
        <v>3192.3282817216286</v>
      </c>
      <c r="J5" s="14">
        <f>(J6/365)*'Income Statement'!J8</f>
        <v>3374.5694132117223</v>
      </c>
      <c r="K5" s="14">
        <f>(K6/365)*'Income Statement'!K8</f>
        <v>3604.6138495291511</v>
      </c>
      <c r="L5" s="14">
        <f>(L6/365)*'Income Statement'!L8</f>
        <v>3821.6477669736469</v>
      </c>
      <c r="M5" s="14">
        <f>(M6/365)*'Income Statement'!M8</f>
        <v>3942.9262325835048</v>
      </c>
      <c r="N5" s="14">
        <f>(N6/365)*'Income Statement'!N8</f>
        <v>4124.0412194462342</v>
      </c>
      <c r="O5" s="14">
        <f>(O6/365)*'Income Statement'!O8</f>
        <v>4166.3736795103432</v>
      </c>
      <c r="P5" s="14">
        <f>(P6/365)*'Income Statement'!P8</f>
        <v>4329.2811785311205</v>
      </c>
      <c r="Q5" s="14">
        <f>(Q6/365)*'Income Statement'!Q8</f>
        <v>4489.7162768989474</v>
      </c>
    </row>
    <row r="6" spans="2:19" x14ac:dyDescent="0.35">
      <c r="B6" s="129" t="s">
        <v>201</v>
      </c>
      <c r="C6" s="130"/>
      <c r="D6" s="130">
        <f>(AVERAGE(C5:D5)/'Income Statement'!D8)*365</f>
        <v>199.64691246603599</v>
      </c>
      <c r="E6" s="130">
        <f>(AVERAGE(D5:E5)/'Income Statement'!E8)*365</f>
        <v>262.02886611674376</v>
      </c>
      <c r="F6" s="130">
        <f>(AVERAGE(E5:F5)/'Income Statement'!F8)*365</f>
        <v>203.24617557270989</v>
      </c>
      <c r="G6" s="130">
        <f>(AVERAGE(F5:G5)/'Income Statement'!G8)*365</f>
        <v>224.96916544024535</v>
      </c>
      <c r="H6" s="130">
        <v>200</v>
      </c>
      <c r="I6" s="130">
        <v>200</v>
      </c>
      <c r="J6" s="130">
        <v>200</v>
      </c>
      <c r="K6" s="130">
        <v>200</v>
      </c>
      <c r="L6" s="130">
        <v>200</v>
      </c>
      <c r="M6" s="130">
        <v>200</v>
      </c>
      <c r="N6" s="130">
        <v>200</v>
      </c>
      <c r="O6" s="130">
        <v>200</v>
      </c>
      <c r="P6" s="130">
        <v>200</v>
      </c>
      <c r="Q6" s="130">
        <v>200</v>
      </c>
    </row>
    <row r="7" spans="2:19" x14ac:dyDescent="0.35">
      <c r="B7" s="2" t="s">
        <v>342</v>
      </c>
      <c r="C7" s="14">
        <f>'Balance Sheet'!C9</f>
        <v>3288.1935014999999</v>
      </c>
      <c r="D7" s="14">
        <f>'Balance Sheet'!D9</f>
        <v>4189.4178885000001</v>
      </c>
      <c r="E7" s="14">
        <f>'Balance Sheet'!E9</f>
        <v>3467.4948386000001</v>
      </c>
      <c r="F7" s="14">
        <f>'Balance Sheet'!F9</f>
        <v>3724.6629668999999</v>
      </c>
      <c r="G7" s="14">
        <f>'Balance Sheet'!G9</f>
        <v>3606.6239998999999</v>
      </c>
      <c r="H7" s="14">
        <f>(H8/365)*'Income Statement'!H6</f>
        <v>3703.4864604477466</v>
      </c>
      <c r="I7" s="14">
        <f>(I8/365)*'Income Statement'!I6</f>
        <v>4489.2116461710393</v>
      </c>
      <c r="J7" s="14">
        <f>(J8/365)*'Income Statement'!J6</f>
        <v>4820.8134474453173</v>
      </c>
      <c r="K7" s="14">
        <f>(K8/365)*'Income Statement'!K6</f>
        <v>5149.4483564702159</v>
      </c>
      <c r="L7" s="14">
        <f>(L8/365)*'Income Statement'!L6</f>
        <v>5459.4968099623529</v>
      </c>
      <c r="M7" s="14">
        <f>(M8/365)*'Income Statement'!M6</f>
        <v>5723.6025956857329</v>
      </c>
      <c r="N7" s="14">
        <f>(N8/365)*'Income Statement'!N6</f>
        <v>5986.5114475832434</v>
      </c>
      <c r="O7" s="14">
        <f>(O8/365)*'Income Statement'!O6</f>
        <v>6249.5605192655148</v>
      </c>
      <c r="P7" s="14">
        <f>(P8/365)*'Income Statement'!P6</f>
        <v>6493.9217677966808</v>
      </c>
      <c r="Q7" s="14">
        <f>(Q8/365)*'Income Statement'!Q6</f>
        <v>6734.5744153484202</v>
      </c>
    </row>
    <row r="8" spans="2:19" x14ac:dyDescent="0.35">
      <c r="B8" s="129" t="s">
        <v>202</v>
      </c>
      <c r="C8" s="130"/>
      <c r="D8" s="130">
        <f>(AVERAGE(C7:D7)/'Income Statement'!D6)*365</f>
        <v>167.07100750414079</v>
      </c>
      <c r="E8" s="130">
        <f>(AVERAGE(D7:E7)/'Income Statement'!E6)*365</f>
        <v>210.53136149235141</v>
      </c>
      <c r="F8" s="130">
        <f>(AVERAGE(E7:F7)/'Income Statement'!F6)*365</f>
        <v>174.72692029472441</v>
      </c>
      <c r="G8" s="130">
        <f>(AVERAGE(F7:G7)/'Income Statement'!G6)*365</f>
        <v>188.91741049419662</v>
      </c>
      <c r="H8" s="130">
        <v>180</v>
      </c>
      <c r="I8" s="130">
        <v>180</v>
      </c>
      <c r="J8" s="130">
        <v>180</v>
      </c>
      <c r="K8" s="130">
        <v>180</v>
      </c>
      <c r="L8" s="130">
        <v>180</v>
      </c>
      <c r="M8" s="130">
        <v>180</v>
      </c>
      <c r="N8" s="130">
        <v>180</v>
      </c>
      <c r="O8" s="130">
        <v>180</v>
      </c>
      <c r="P8" s="130">
        <v>180</v>
      </c>
      <c r="Q8" s="130">
        <v>180</v>
      </c>
    </row>
    <row r="9" spans="2:19" x14ac:dyDescent="0.35">
      <c r="B9" s="2" t="s">
        <v>348</v>
      </c>
      <c r="C9" s="14">
        <f>'Balance Sheet'!C11</f>
        <v>500.89680720000001</v>
      </c>
      <c r="D9" s="14">
        <f>'Balance Sheet'!D11</f>
        <v>553.6502855</v>
      </c>
      <c r="E9" s="14">
        <f>'Balance Sheet'!E11</f>
        <v>551.76371140000003</v>
      </c>
      <c r="F9" s="14">
        <f>'Balance Sheet'!F11</f>
        <v>767.1704651</v>
      </c>
      <c r="G9" s="14">
        <f>'Balance Sheet'!G11</f>
        <v>148.61544739999999</v>
      </c>
      <c r="H9" s="14">
        <f>(H10/365)*'Income Statement'!H13</f>
        <v>370.34864604477468</v>
      </c>
      <c r="I9" s="14">
        <f>(I10/365)*'Income Statement'!I13</f>
        <v>437.6981355016764</v>
      </c>
      <c r="J9" s="14">
        <f>(J10/365)*'Income Statement'!J13</f>
        <v>457.97727750730519</v>
      </c>
      <c r="K9" s="14">
        <f>(K10/365)*'Income Statement'!K13</f>
        <v>480.61517993722015</v>
      </c>
      <c r="L9" s="14">
        <f>(L10/365)*'Income Statement'!L13</f>
        <v>500.45387424654905</v>
      </c>
      <c r="M9" s="14">
        <f>(M10/365)*'Income Statement'!M13</f>
        <v>476.96688297381115</v>
      </c>
      <c r="N9" s="14">
        <f>(N10/365)*'Income Statement'!N13</f>
        <v>498.87595396527024</v>
      </c>
      <c r="O9" s="14">
        <f>(O10/365)*'Income Statement'!O13</f>
        <v>520.7967099387929</v>
      </c>
      <c r="P9" s="14">
        <f>(P10/365)*'Income Statement'!P13</f>
        <v>541.16014731639018</v>
      </c>
      <c r="Q9" s="14">
        <f>(Q10/365)*'Income Statement'!Q13</f>
        <v>561.21453461236842</v>
      </c>
    </row>
    <row r="10" spans="2:19" x14ac:dyDescent="0.35">
      <c r="B10" s="129" t="s">
        <v>388</v>
      </c>
      <c r="C10" s="130"/>
      <c r="D10" s="130">
        <f>(AVERAGE(C9:D9)/'Income Statement'!D13)*365</f>
        <v>209.5425885162804</v>
      </c>
      <c r="E10" s="130">
        <f>(AVERAGE(D9:E9)/'Income Statement'!E13)*365</f>
        <v>259.20672702705957</v>
      </c>
      <c r="F10" s="130">
        <f>(AVERAGE(E9:F9)/'Income Statement'!F13)*365</f>
        <v>244.34871571345462</v>
      </c>
      <c r="G10" s="130">
        <f>(AVERAGE(F9:G9)/'Income Statement'!G13)*365</f>
        <v>156.05837647884437</v>
      </c>
      <c r="H10" s="130">
        <v>150</v>
      </c>
      <c r="I10" s="130">
        <v>150</v>
      </c>
      <c r="J10" s="130">
        <v>150</v>
      </c>
      <c r="K10" s="130">
        <v>150</v>
      </c>
      <c r="L10" s="130">
        <v>150</v>
      </c>
      <c r="M10" s="130">
        <v>150</v>
      </c>
      <c r="N10" s="130">
        <v>150</v>
      </c>
      <c r="O10" s="130">
        <v>150</v>
      </c>
      <c r="P10" s="130">
        <v>150</v>
      </c>
      <c r="Q10" s="130">
        <v>150</v>
      </c>
    </row>
    <row r="11" spans="2:19" x14ac:dyDescent="0.35">
      <c r="B11" s="90" t="s">
        <v>139</v>
      </c>
      <c r="C11" s="91">
        <f>C5+C7+C9</f>
        <v>6202.1464950999998</v>
      </c>
      <c r="D11" s="91">
        <f t="shared" ref="D11:Q11" si="0">D5+D7+D9</f>
        <v>8362.8300899000005</v>
      </c>
      <c r="E11" s="91">
        <f t="shared" si="0"/>
        <v>6576.6118840999998</v>
      </c>
      <c r="F11" s="91">
        <f t="shared" si="0"/>
        <v>7110.0997845000002</v>
      </c>
      <c r="G11" s="91">
        <f t="shared" si="0"/>
        <v>6720.1134225999995</v>
      </c>
      <c r="H11" s="91">
        <f t="shared" si="0"/>
        <v>6707.4254783664746</v>
      </c>
      <c r="I11" s="91">
        <f t="shared" si="0"/>
        <v>8119.238063394344</v>
      </c>
      <c r="J11" s="91">
        <f t="shared" si="0"/>
        <v>8653.3601381643439</v>
      </c>
      <c r="K11" s="91">
        <f t="shared" si="0"/>
        <v>9234.6773859365876</v>
      </c>
      <c r="L11" s="91">
        <f t="shared" si="0"/>
        <v>9781.5984511825482</v>
      </c>
      <c r="M11" s="91">
        <f t="shared" si="0"/>
        <v>10143.495711243049</v>
      </c>
      <c r="N11" s="91">
        <f t="shared" si="0"/>
        <v>10609.42862099475</v>
      </c>
      <c r="O11" s="91">
        <f t="shared" si="0"/>
        <v>10936.730908714651</v>
      </c>
      <c r="P11" s="91">
        <f t="shared" si="0"/>
        <v>11364.363093644191</v>
      </c>
      <c r="Q11" s="91">
        <f t="shared" si="0"/>
        <v>11785.505226859736</v>
      </c>
    </row>
    <row r="13" spans="2:19" x14ac:dyDescent="0.35">
      <c r="B13" s="12" t="s">
        <v>389</v>
      </c>
    </row>
    <row r="14" spans="2:19" x14ac:dyDescent="0.35">
      <c r="B14" s="2" t="s">
        <v>344</v>
      </c>
      <c r="C14" s="14">
        <f>'Balance Sheet'!C26</f>
        <v>292.33228459999998</v>
      </c>
      <c r="D14" s="14">
        <f>'Balance Sheet'!D26</f>
        <v>458.14572099999998</v>
      </c>
      <c r="E14" s="14">
        <f>'Balance Sheet'!E26</f>
        <v>305.80096900000001</v>
      </c>
      <c r="F14" s="14">
        <f>'Balance Sheet'!F26</f>
        <v>363.01135540000001</v>
      </c>
      <c r="G14" s="14">
        <f>'Balance Sheet'!G26</f>
        <v>240.30518040000001</v>
      </c>
      <c r="H14" s="14">
        <f>(H15/365)*'Income Statement'!H8</f>
        <v>395.03855578109295</v>
      </c>
      <c r="I14" s="14">
        <f>(I15/365)*'Income Statement'!I8</f>
        <v>478.84924225824426</v>
      </c>
      <c r="J14" s="14">
        <f>(J15/365)*'Income Statement'!J8</f>
        <v>506.18541198175836</v>
      </c>
      <c r="K14" s="14">
        <f>(K15/365)*'Income Statement'!K8</f>
        <v>540.69207742937272</v>
      </c>
      <c r="L14" s="14">
        <f>(L15/365)*'Income Statement'!L8</f>
        <v>573.24716504604703</v>
      </c>
      <c r="M14" s="14">
        <f>(M15/365)*'Income Statement'!M8</f>
        <v>591.43893488752576</v>
      </c>
      <c r="N14" s="14">
        <f>(N15/365)*'Income Statement'!N8</f>
        <v>618.60618291693515</v>
      </c>
      <c r="O14" s="14">
        <f>(O15/365)*'Income Statement'!O8</f>
        <v>624.95605192655148</v>
      </c>
      <c r="P14" s="14">
        <f>(P15/365)*'Income Statement'!P8</f>
        <v>649.39217677966803</v>
      </c>
      <c r="Q14" s="14">
        <f>(Q15/365)*'Income Statement'!Q8</f>
        <v>673.45744153484202</v>
      </c>
    </row>
    <row r="15" spans="2:19" x14ac:dyDescent="0.35">
      <c r="B15" s="129" t="s">
        <v>203</v>
      </c>
      <c r="C15" s="130"/>
      <c r="D15" s="130">
        <f>(AVERAGE(C14:D14)/'Income Statement'!D8*365)</f>
        <v>24.835924795177537</v>
      </c>
      <c r="E15" s="130">
        <f>(AVERAGE(D14:E14)/'Income Statement'!E8*365)</f>
        <v>32.406079027639883</v>
      </c>
      <c r="F15" s="130">
        <f>(AVERAGE(E14:F14)/'Income Statement'!F8*365)</f>
        <v>26.26420705952081</v>
      </c>
      <c r="G15" s="130">
        <f>(AVERAGE(F14:G14)/'Income Statement'!G8*365)</f>
        <v>24.310264400735289</v>
      </c>
      <c r="H15" s="130">
        <v>30</v>
      </c>
      <c r="I15" s="130">
        <f>$H$15</f>
        <v>30</v>
      </c>
      <c r="J15" s="130">
        <f t="shared" ref="J15:Q15" si="1">$H$15</f>
        <v>30</v>
      </c>
      <c r="K15" s="130">
        <f t="shared" si="1"/>
        <v>30</v>
      </c>
      <c r="L15" s="130">
        <f t="shared" si="1"/>
        <v>30</v>
      </c>
      <c r="M15" s="130">
        <f t="shared" si="1"/>
        <v>30</v>
      </c>
      <c r="N15" s="130">
        <f t="shared" si="1"/>
        <v>30</v>
      </c>
      <c r="O15" s="130">
        <f t="shared" si="1"/>
        <v>30</v>
      </c>
      <c r="P15" s="130">
        <f t="shared" si="1"/>
        <v>30</v>
      </c>
      <c r="Q15" s="130">
        <f t="shared" si="1"/>
        <v>30</v>
      </c>
    </row>
    <row r="16" spans="2:19" x14ac:dyDescent="0.35">
      <c r="B16" s="2" t="s">
        <v>345</v>
      </c>
      <c r="C16" s="14">
        <f>'Balance Sheet'!C27</f>
        <v>704.55801299999996</v>
      </c>
      <c r="D16" s="14">
        <f>'Balance Sheet'!D27</f>
        <v>626.12201140000002</v>
      </c>
      <c r="E16" s="14">
        <f>'Balance Sheet'!E27</f>
        <v>652.17448720000004</v>
      </c>
      <c r="F16" s="14">
        <f>'Balance Sheet'!F27</f>
        <v>790.42641619999995</v>
      </c>
      <c r="G16" s="14">
        <f>'Balance Sheet'!G27</f>
        <v>531.66137660000004</v>
      </c>
      <c r="H16" s="14">
        <f>(H17/365)*'Income Statement'!H13</f>
        <v>556.25371373162193</v>
      </c>
      <c r="I16" s="14">
        <f>(I17/365)*'Income Statement'!I13</f>
        <v>657.41083696787382</v>
      </c>
      <c r="J16" s="14">
        <f>(J17/365)*'Income Statement'!J13</f>
        <v>687.86956328533995</v>
      </c>
      <c r="K16" s="14">
        <f>(K17/365)*'Income Statement'!K13</f>
        <v>721.87108437153267</v>
      </c>
      <c r="L16" s="14">
        <f>(L17/365)*'Income Statement'!L13</f>
        <v>751.66827008560279</v>
      </c>
      <c r="M16" s="14">
        <f>(M17/365)*'Income Statement'!M13</f>
        <v>716.39144037562426</v>
      </c>
      <c r="N16" s="14">
        <f>(N17/365)*'Income Statement'!N13</f>
        <v>749.29827622763241</v>
      </c>
      <c r="O16" s="14">
        <f>(O17/365)*'Income Statement'!O13</f>
        <v>782.22266260868162</v>
      </c>
      <c r="P16" s="14">
        <f>(P17/365)*'Income Statement'!P13</f>
        <v>812.80799830951833</v>
      </c>
      <c r="Q16" s="14">
        <f>(Q17/365)*'Income Statement'!Q13</f>
        <v>842.92914909307353</v>
      </c>
    </row>
    <row r="17" spans="2:17" x14ac:dyDescent="0.35">
      <c r="B17" s="129" t="s">
        <v>390</v>
      </c>
      <c r="C17" s="130"/>
      <c r="D17" s="130">
        <f>(AVERAGE(C16:D16)/'Income Statement'!D13)*365</f>
        <v>264.41127070558099</v>
      </c>
      <c r="E17" s="130">
        <f>(AVERAGE(D16:E16)/'Income Statement'!E13)*365</f>
        <v>299.74566316463137</v>
      </c>
      <c r="F17" s="130">
        <f>(AVERAGE(E16:F16)/'Income Statement'!F13)*365</f>
        <v>267.25949203035105</v>
      </c>
      <c r="G17" s="130">
        <f>(AVERAGE(F16:G16)/'Income Statement'!G13)*365</f>
        <v>225.29596894936597</v>
      </c>
      <c r="H17" s="130">
        <f>G17</f>
        <v>225.29596894936597</v>
      </c>
      <c r="I17" s="130">
        <f>$H$17</f>
        <v>225.29596894936597</v>
      </c>
      <c r="J17" s="130">
        <f t="shared" ref="J17:Q17" si="2">$H$17</f>
        <v>225.29596894936597</v>
      </c>
      <c r="K17" s="130">
        <f t="shared" si="2"/>
        <v>225.29596894936597</v>
      </c>
      <c r="L17" s="130">
        <f t="shared" si="2"/>
        <v>225.29596894936597</v>
      </c>
      <c r="M17" s="130">
        <f t="shared" si="2"/>
        <v>225.29596894936597</v>
      </c>
      <c r="N17" s="130">
        <f t="shared" si="2"/>
        <v>225.29596894936597</v>
      </c>
      <c r="O17" s="130">
        <f t="shared" si="2"/>
        <v>225.29596894936597</v>
      </c>
      <c r="P17" s="130">
        <f t="shared" si="2"/>
        <v>225.29596894936597</v>
      </c>
      <c r="Q17" s="130">
        <f t="shared" si="2"/>
        <v>225.29596894936597</v>
      </c>
    </row>
    <row r="18" spans="2:17" x14ac:dyDescent="0.35">
      <c r="B18" s="90" t="s">
        <v>144</v>
      </c>
      <c r="C18" s="91">
        <f>C14+C16</f>
        <v>996.89029759999994</v>
      </c>
      <c r="D18" s="91">
        <f t="shared" ref="D18:Q18" si="3">D14+D16</f>
        <v>1084.2677324000001</v>
      </c>
      <c r="E18" s="91">
        <f t="shared" si="3"/>
        <v>957.97545620000005</v>
      </c>
      <c r="F18" s="91">
        <f t="shared" si="3"/>
        <v>1153.4377715999999</v>
      </c>
      <c r="G18" s="91">
        <f t="shared" si="3"/>
        <v>771.96655700000008</v>
      </c>
      <c r="H18" s="91">
        <f>H14+H16</f>
        <v>951.29226951271494</v>
      </c>
      <c r="I18" s="91">
        <f t="shared" si="3"/>
        <v>1136.260079226118</v>
      </c>
      <c r="J18" s="91">
        <f t="shared" si="3"/>
        <v>1194.0549752670984</v>
      </c>
      <c r="K18" s="91">
        <f t="shared" si="3"/>
        <v>1262.5631618009054</v>
      </c>
      <c r="L18" s="91">
        <f t="shared" si="3"/>
        <v>1324.9154351316497</v>
      </c>
      <c r="M18" s="91">
        <f t="shared" si="3"/>
        <v>1307.83037526315</v>
      </c>
      <c r="N18" s="91">
        <f t="shared" si="3"/>
        <v>1367.9044591445677</v>
      </c>
      <c r="O18" s="91">
        <f t="shared" si="3"/>
        <v>1407.1787145352332</v>
      </c>
      <c r="P18" s="91">
        <f t="shared" si="3"/>
        <v>1462.2001750891864</v>
      </c>
      <c r="Q18" s="91">
        <f t="shared" si="3"/>
        <v>1516.3865906279157</v>
      </c>
    </row>
    <row r="20" spans="2:17" ht="15" thickBot="1" x14ac:dyDescent="0.4">
      <c r="B20" s="131" t="s">
        <v>391</v>
      </c>
      <c r="C20" s="79">
        <f>C11-C18</f>
        <v>5205.2561974999999</v>
      </c>
      <c r="D20" s="79">
        <f t="shared" ref="D20:Q20" si="4">D11-D18</f>
        <v>7278.5623575000009</v>
      </c>
      <c r="E20" s="79">
        <f t="shared" si="4"/>
        <v>5618.6364278999999</v>
      </c>
      <c r="F20" s="79">
        <f t="shared" si="4"/>
        <v>5956.6620129000003</v>
      </c>
      <c r="G20" s="79">
        <f t="shared" si="4"/>
        <v>5948.1468655999997</v>
      </c>
      <c r="H20" s="79">
        <f t="shared" si="4"/>
        <v>5756.1332088537602</v>
      </c>
      <c r="I20" s="79">
        <f t="shared" si="4"/>
        <v>6982.9779841682257</v>
      </c>
      <c r="J20" s="79">
        <f t="shared" si="4"/>
        <v>7459.3051628972453</v>
      </c>
      <c r="K20" s="79">
        <f t="shared" si="4"/>
        <v>7972.114224135682</v>
      </c>
      <c r="L20" s="79">
        <f t="shared" si="4"/>
        <v>8456.683016050898</v>
      </c>
      <c r="M20" s="79">
        <f t="shared" si="4"/>
        <v>8835.6653359798984</v>
      </c>
      <c r="N20" s="79">
        <f t="shared" si="4"/>
        <v>9241.5241618501823</v>
      </c>
      <c r="O20" s="79">
        <f t="shared" si="4"/>
        <v>9529.5521941794177</v>
      </c>
      <c r="P20" s="79">
        <f t="shared" si="4"/>
        <v>9902.1629185550046</v>
      </c>
      <c r="Q20" s="79">
        <f t="shared" si="4"/>
        <v>10269.11863623182</v>
      </c>
    </row>
    <row r="22" spans="2:17" x14ac:dyDescent="0.35">
      <c r="D22" s="14"/>
      <c r="E22" s="14"/>
      <c r="F22" s="14"/>
      <c r="G22" s="1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7724-3B32-4BF4-9A4C-049587C02B1F}">
  <dimension ref="B2:V43"/>
  <sheetViews>
    <sheetView showGridLines="0" zoomScaleNormal="100" workbookViewId="0">
      <selection activeCell="G10" sqref="G10"/>
    </sheetView>
  </sheetViews>
  <sheetFormatPr defaultColWidth="9.1796875" defaultRowHeight="14.5" x14ac:dyDescent="0.35"/>
  <cols>
    <col min="1" max="1" width="2.26953125" style="2" customWidth="1"/>
    <col min="2" max="2" width="46.1796875" style="2" customWidth="1"/>
    <col min="3" max="13" width="9.1796875" style="2"/>
    <col min="14" max="14" width="13.453125" style="2" customWidth="1"/>
    <col min="15" max="17" width="9.1796875" style="2"/>
    <col min="18" max="18" width="52.81640625" style="2" bestFit="1" customWidth="1"/>
    <col min="19" max="20" width="18" style="2" bestFit="1" customWidth="1"/>
    <col min="21" max="16384" width="9.1796875" style="2"/>
  </cols>
  <sheetData>
    <row r="2" spans="2:22" ht="21" x14ac:dyDescent="0.5">
      <c r="B2" s="76" t="s">
        <v>491</v>
      </c>
      <c r="C2" s="77"/>
      <c r="D2" s="77"/>
      <c r="E2" s="87"/>
      <c r="F2" s="87"/>
      <c r="G2" s="87"/>
      <c r="H2" s="87"/>
      <c r="I2" s="87"/>
      <c r="J2" s="87"/>
      <c r="K2" s="87"/>
      <c r="L2" s="87"/>
      <c r="M2" s="87"/>
    </row>
    <row r="3" spans="2:22" x14ac:dyDescent="0.35">
      <c r="B3" s="72" t="s">
        <v>172</v>
      </c>
      <c r="C3" s="74">
        <v>2025</v>
      </c>
      <c r="D3" s="75">
        <v>2026</v>
      </c>
      <c r="E3" s="75">
        <v>2027</v>
      </c>
      <c r="F3" s="75">
        <v>2028</v>
      </c>
      <c r="G3" s="75">
        <v>2029</v>
      </c>
      <c r="H3" s="75">
        <v>2030</v>
      </c>
      <c r="I3" s="75">
        <v>2031</v>
      </c>
      <c r="J3" s="75">
        <v>2032</v>
      </c>
      <c r="K3" s="75">
        <v>2033</v>
      </c>
      <c r="L3" s="75">
        <v>2034</v>
      </c>
      <c r="M3" s="75">
        <v>2035</v>
      </c>
      <c r="R3" s="8" t="s">
        <v>400</v>
      </c>
      <c r="S3" s="8" t="s">
        <v>500</v>
      </c>
      <c r="T3" s="8" t="s">
        <v>501</v>
      </c>
    </row>
    <row r="4" spans="2:22" x14ac:dyDescent="0.35">
      <c r="B4" s="156" t="s">
        <v>520</v>
      </c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R4" s="2" t="s">
        <v>502</v>
      </c>
      <c r="S4" s="35">
        <v>56.621139100000001</v>
      </c>
      <c r="T4" s="35">
        <v>12.1315525</v>
      </c>
    </row>
    <row r="5" spans="2:22" x14ac:dyDescent="0.35">
      <c r="B5" s="157" t="s">
        <v>521</v>
      </c>
      <c r="C5" s="161">
        <f>'Balance Sheet'!F7</f>
        <v>654.73263499999996</v>
      </c>
      <c r="D5" s="161">
        <f>'Balance Sheet'!G7</f>
        <v>506.54569800000002</v>
      </c>
      <c r="E5" s="161">
        <f ca="1">'Balance Sheet'!H7</f>
        <v>1039.470385732609</v>
      </c>
      <c r="F5" s="161">
        <f ca="1">'Balance Sheet'!I7</f>
        <v>341.02841730395471</v>
      </c>
      <c r="G5" s="161">
        <f ca="1">'Balance Sheet'!J7</f>
        <v>535.22304869417246</v>
      </c>
      <c r="H5" s="161">
        <f ca="1">'Balance Sheet'!K7</f>
        <v>676.06352418767472</v>
      </c>
      <c r="I5" s="161">
        <f ca="1">'Balance Sheet'!L7</f>
        <v>907.74635480760173</v>
      </c>
      <c r="J5" s="161">
        <f ca="1">'Balance Sheet'!M7</f>
        <v>1420.3643642651173</v>
      </c>
      <c r="K5" s="161">
        <f ca="1">'Balance Sheet'!N7</f>
        <v>1702.0611159859957</v>
      </c>
      <c r="L5" s="161">
        <f ca="1">'Balance Sheet'!O7</f>
        <v>2259.6904905837455</v>
      </c>
      <c r="M5" s="161">
        <f ca="1">'Balance Sheet'!P7</f>
        <v>2784.7621103689671</v>
      </c>
      <c r="P5" s="171" t="s">
        <v>534</v>
      </c>
      <c r="R5" s="2" t="s">
        <v>503</v>
      </c>
      <c r="S5" s="35">
        <v>16.827933000000002</v>
      </c>
      <c r="T5" s="35">
        <v>29.043753500000001</v>
      </c>
    </row>
    <row r="6" spans="2:22" x14ac:dyDescent="0.35">
      <c r="B6" s="157" t="s">
        <v>522</v>
      </c>
      <c r="C6" s="159"/>
      <c r="D6" s="161">
        <f ca="1">'Cash Flow Statement'!H40</f>
        <v>532.92468773260885</v>
      </c>
      <c r="E6" s="161">
        <f ca="1">'Cash Flow Statement'!I40</f>
        <v>-698.44196842865426</v>
      </c>
      <c r="F6" s="161">
        <f ca="1">'Cash Flow Statement'!J40</f>
        <v>194.19463139021775</v>
      </c>
      <c r="G6" s="161">
        <f ca="1">'Cash Flow Statement'!K40</f>
        <v>140.84047549350225</v>
      </c>
      <c r="H6" s="161">
        <f ca="1">'Cash Flow Statement'!L40</f>
        <v>231.68283061992702</v>
      </c>
      <c r="I6" s="161">
        <f ca="1">'Cash Flow Statement'!M40</f>
        <v>512.61800945751543</v>
      </c>
      <c r="J6" s="161">
        <f ca="1">'Cash Flow Statement'!N40</f>
        <v>281.69675172087841</v>
      </c>
      <c r="K6" s="161">
        <f ca="1">'Cash Flow Statement'!O40</f>
        <v>557.62937459774957</v>
      </c>
      <c r="L6" s="161">
        <f ca="1">'Cash Flow Statement'!P40</f>
        <v>525.07161978522163</v>
      </c>
      <c r="M6" s="161">
        <f ca="1">'Cash Flow Statement'!Q40</f>
        <v>583.24356495804545</v>
      </c>
      <c r="P6" s="171" t="s">
        <v>535</v>
      </c>
      <c r="R6" s="2" t="s">
        <v>504</v>
      </c>
      <c r="S6" s="35">
        <v>70.825844200000006</v>
      </c>
      <c r="T6" s="35">
        <v>49.543491699999997</v>
      </c>
    </row>
    <row r="7" spans="2:22" x14ac:dyDescent="0.35">
      <c r="B7" s="157" t="s">
        <v>523</v>
      </c>
      <c r="C7" s="159"/>
      <c r="D7" s="35">
        <v>-50</v>
      </c>
      <c r="E7" s="35">
        <v>-50</v>
      </c>
      <c r="F7" s="35">
        <v>-50</v>
      </c>
      <c r="G7" s="35">
        <v>-50</v>
      </c>
      <c r="H7" s="35">
        <v>-50</v>
      </c>
      <c r="I7" s="35">
        <v>-50</v>
      </c>
      <c r="J7" s="35">
        <v>-50</v>
      </c>
      <c r="K7" s="35">
        <v>-50</v>
      </c>
      <c r="L7" s="35">
        <v>-50</v>
      </c>
      <c r="M7" s="35">
        <v>-50</v>
      </c>
      <c r="N7" s="143"/>
      <c r="R7" s="2" t="s">
        <v>505</v>
      </c>
      <c r="S7" s="35">
        <v>1.6353047000000001</v>
      </c>
      <c r="T7" s="35">
        <v>0</v>
      </c>
    </row>
    <row r="8" spans="2:22" x14ac:dyDescent="0.35">
      <c r="B8" s="158" t="s">
        <v>524</v>
      </c>
      <c r="C8" s="160"/>
      <c r="D8" s="160">
        <f ca="1">SUM(D5:D7)</f>
        <v>989.47038573260897</v>
      </c>
      <c r="E8" s="160">
        <f t="shared" ref="E8:M8" ca="1" si="0">SUM(E5:E7)</f>
        <v>291.02841730395471</v>
      </c>
      <c r="F8" s="160">
        <f t="shared" ca="1" si="0"/>
        <v>485.22304869417246</v>
      </c>
      <c r="G8" s="160">
        <f t="shared" ca="1" si="0"/>
        <v>626.06352418767472</v>
      </c>
      <c r="H8" s="160">
        <f t="shared" ca="1" si="0"/>
        <v>857.74635480760173</v>
      </c>
      <c r="I8" s="160">
        <f t="shared" ca="1" si="0"/>
        <v>1370.3643642651173</v>
      </c>
      <c r="J8" s="160">
        <f t="shared" ca="1" si="0"/>
        <v>1652.0611159859957</v>
      </c>
      <c r="K8" s="160">
        <f t="shared" ca="1" si="0"/>
        <v>2209.6904905837455</v>
      </c>
      <c r="L8" s="160">
        <f t="shared" ca="1" si="0"/>
        <v>2734.7621103689671</v>
      </c>
      <c r="M8" s="160">
        <f t="shared" ca="1" si="0"/>
        <v>3318.0056753270128</v>
      </c>
      <c r="R8" s="2" t="s">
        <v>506</v>
      </c>
      <c r="S8" s="35">
        <v>23.775444400000001</v>
      </c>
      <c r="T8" s="35">
        <v>15.3036844</v>
      </c>
    </row>
    <row r="9" spans="2:22" x14ac:dyDescent="0.35">
      <c r="B9" s="23"/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R9" s="2" t="s">
        <v>507</v>
      </c>
      <c r="S9" s="35">
        <v>304.13264520000001</v>
      </c>
      <c r="T9" s="35">
        <v>18.545193699999999</v>
      </c>
    </row>
    <row r="10" spans="2:22" x14ac:dyDescent="0.35">
      <c r="D10" s="63" t="s">
        <v>533</v>
      </c>
      <c r="E10" s="172" t="s">
        <v>535</v>
      </c>
      <c r="R10" s="8" t="s">
        <v>145</v>
      </c>
      <c r="S10" s="162">
        <v>473.83251059999998</v>
      </c>
      <c r="T10" s="162">
        <v>124.5676758</v>
      </c>
      <c r="U10" s="17"/>
      <c r="V10" s="17"/>
    </row>
    <row r="11" spans="2:22" x14ac:dyDescent="0.35">
      <c r="B11" s="156" t="s">
        <v>492</v>
      </c>
      <c r="C11" s="23"/>
      <c r="E11" s="2">
        <f>IF(E10="On", 1, 0)</f>
        <v>0</v>
      </c>
      <c r="F11" s="23"/>
      <c r="G11" s="23"/>
      <c r="H11" s="23"/>
      <c r="I11" s="23"/>
      <c r="J11" s="23"/>
      <c r="K11" s="23"/>
      <c r="L11" s="23"/>
      <c r="M11" s="23"/>
      <c r="U11" s="17"/>
      <c r="V11" s="17"/>
    </row>
    <row r="12" spans="2:22" x14ac:dyDescent="0.35">
      <c r="B12" s="37" t="s">
        <v>493</v>
      </c>
      <c r="C12" s="17">
        <f>'Balance Sheet'!F28</f>
        <v>2124.3601979</v>
      </c>
      <c r="D12" s="17">
        <f>C15</f>
        <v>1788.3976955999999</v>
      </c>
      <c r="E12" s="17">
        <f ca="1">D15</f>
        <v>1788.3976955999999</v>
      </c>
      <c r="F12" s="17">
        <f ca="1">E15</f>
        <v>1788.3976955999999</v>
      </c>
      <c r="G12" s="17">
        <f t="shared" ref="G12:M12" ca="1" si="1">F15</f>
        <v>1788.3976955999999</v>
      </c>
      <c r="H12" s="17">
        <f t="shared" ca="1" si="1"/>
        <v>1788.3976955999999</v>
      </c>
      <c r="I12" s="17">
        <f t="shared" ca="1" si="1"/>
        <v>1788.3976955999999</v>
      </c>
      <c r="J12" s="17">
        <f t="shared" ca="1" si="1"/>
        <v>1788.3976955999999</v>
      </c>
      <c r="K12" s="17">
        <f t="shared" ca="1" si="1"/>
        <v>1788.3976955999999</v>
      </c>
      <c r="L12" s="17">
        <f t="shared" ca="1" si="1"/>
        <v>1788.3976955999999</v>
      </c>
      <c r="M12" s="17">
        <f t="shared" ca="1" si="1"/>
        <v>1788.3976955999999</v>
      </c>
      <c r="R12" s="8" t="s">
        <v>400</v>
      </c>
      <c r="S12" s="8" t="s">
        <v>508</v>
      </c>
      <c r="T12" s="8" t="s">
        <v>500</v>
      </c>
      <c r="U12" s="17"/>
      <c r="V12" s="17"/>
    </row>
    <row r="13" spans="2:22" x14ac:dyDescent="0.35">
      <c r="B13" s="37" t="s">
        <v>494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R13" s="2" t="s">
        <v>502</v>
      </c>
      <c r="S13" s="35">
        <v>140.02898669999999</v>
      </c>
      <c r="T13" s="35">
        <v>56.621139100000001</v>
      </c>
      <c r="U13" s="17"/>
      <c r="V13" s="17"/>
    </row>
    <row r="14" spans="2:22" x14ac:dyDescent="0.35">
      <c r="B14" s="37" t="s">
        <v>495</v>
      </c>
      <c r="D14" s="17">
        <f ca="1">MIN(-(MIN(D8,D12)*$E$11), 8950)</f>
        <v>0</v>
      </c>
      <c r="E14" s="17">
        <f t="shared" ref="E14:M14" ca="1" si="2">MIN(-(MIN(E8,E12)*$E$11), 8950)</f>
        <v>0</v>
      </c>
      <c r="F14" s="17">
        <f t="shared" ca="1" si="2"/>
        <v>0</v>
      </c>
      <c r="G14" s="17">
        <f t="shared" ca="1" si="2"/>
        <v>0</v>
      </c>
      <c r="H14" s="17">
        <f t="shared" ca="1" si="2"/>
        <v>0</v>
      </c>
      <c r="I14" s="17">
        <f t="shared" ca="1" si="2"/>
        <v>0</v>
      </c>
      <c r="J14" s="17">
        <f t="shared" ca="1" si="2"/>
        <v>0</v>
      </c>
      <c r="K14" s="17">
        <f t="shared" ca="1" si="2"/>
        <v>0</v>
      </c>
      <c r="L14" s="17">
        <f t="shared" ca="1" si="2"/>
        <v>0</v>
      </c>
      <c r="M14" s="17">
        <f t="shared" ca="1" si="2"/>
        <v>0</v>
      </c>
      <c r="R14" s="2" t="s">
        <v>503</v>
      </c>
      <c r="S14" s="35">
        <v>32.124339300000003</v>
      </c>
      <c r="T14" s="35">
        <v>16.827933000000002</v>
      </c>
      <c r="U14" s="17"/>
      <c r="V14" s="17"/>
    </row>
    <row r="15" spans="2:22" x14ac:dyDescent="0.35">
      <c r="B15" s="163" t="s">
        <v>496</v>
      </c>
      <c r="C15" s="155">
        <f>'Balance Sheet'!G28</f>
        <v>1788.3976955999999</v>
      </c>
      <c r="D15" s="155">
        <f ca="1">SUM(D12:D14)</f>
        <v>1788.3976955999999</v>
      </c>
      <c r="E15" s="155">
        <f t="shared" ref="E15:M15" ca="1" si="3">SUM(E12:E14)</f>
        <v>1788.3976955999999</v>
      </c>
      <c r="F15" s="155">
        <f t="shared" ca="1" si="3"/>
        <v>1788.3976955999999</v>
      </c>
      <c r="G15" s="155">
        <f t="shared" ca="1" si="3"/>
        <v>1788.3976955999999</v>
      </c>
      <c r="H15" s="155">
        <f t="shared" ca="1" si="3"/>
        <v>1788.3976955999999</v>
      </c>
      <c r="I15" s="155">
        <f t="shared" ca="1" si="3"/>
        <v>1788.3976955999999</v>
      </c>
      <c r="J15" s="155">
        <f t="shared" ca="1" si="3"/>
        <v>1788.3976955999999</v>
      </c>
      <c r="K15" s="155">
        <f t="shared" ca="1" si="3"/>
        <v>1788.3976955999999</v>
      </c>
      <c r="L15" s="155">
        <f t="shared" ca="1" si="3"/>
        <v>1788.3976955999999</v>
      </c>
      <c r="M15" s="155">
        <f t="shared" ca="1" si="3"/>
        <v>1788.3976955999999</v>
      </c>
      <c r="R15" s="2" t="s">
        <v>504</v>
      </c>
      <c r="S15" s="35">
        <v>93.928140200000001</v>
      </c>
      <c r="T15" s="35">
        <v>70.825844200000006</v>
      </c>
      <c r="U15" s="17"/>
      <c r="V15" s="17"/>
    </row>
    <row r="16" spans="2:22" x14ac:dyDescent="0.35">
      <c r="B16" s="37" t="s">
        <v>497</v>
      </c>
      <c r="C16" s="17">
        <f>(S22+S24)</f>
        <v>236.63735869999999</v>
      </c>
      <c r="D16" s="17">
        <f ca="1">AVERAGE(D12,D15)*D17</f>
        <v>216.31888223648437</v>
      </c>
      <c r="E16" s="17">
        <f t="shared" ref="E16:M16" ca="1" si="4">AVERAGE(E12,E15)*E17</f>
        <v>216.31888223648437</v>
      </c>
      <c r="F16" s="17">
        <f t="shared" ca="1" si="4"/>
        <v>216.31888223648437</v>
      </c>
      <c r="G16" s="17">
        <f t="shared" ca="1" si="4"/>
        <v>216.31888223648437</v>
      </c>
      <c r="H16" s="17">
        <f t="shared" ca="1" si="4"/>
        <v>216.31888223648437</v>
      </c>
      <c r="I16" s="17">
        <f t="shared" ca="1" si="4"/>
        <v>216.31888223648437</v>
      </c>
      <c r="J16" s="17">
        <f t="shared" ca="1" si="4"/>
        <v>216.31888223648437</v>
      </c>
      <c r="K16" s="17">
        <f t="shared" ca="1" si="4"/>
        <v>216.31888223648437</v>
      </c>
      <c r="L16" s="17">
        <f t="shared" ca="1" si="4"/>
        <v>216.31888223648437</v>
      </c>
      <c r="M16" s="17">
        <f t="shared" ca="1" si="4"/>
        <v>216.31888223648437</v>
      </c>
      <c r="R16" s="2" t="s">
        <v>505</v>
      </c>
      <c r="S16" s="35">
        <v>1.8755618999999999</v>
      </c>
      <c r="T16" s="35">
        <v>1.4553046999999999</v>
      </c>
      <c r="U16" s="17"/>
      <c r="V16" s="17"/>
    </row>
    <row r="17" spans="2:22" x14ac:dyDescent="0.35">
      <c r="B17" s="168" t="s">
        <v>498</v>
      </c>
      <c r="C17" s="169">
        <f>C16/AVERAGE(C12,C15)</f>
        <v>0.12095681109894871</v>
      </c>
      <c r="D17" s="169">
        <f>C17</f>
        <v>0.12095681109894871</v>
      </c>
      <c r="E17" s="169">
        <f t="shared" ref="E17:M17" si="5">D17</f>
        <v>0.12095681109894871</v>
      </c>
      <c r="F17" s="169">
        <f t="shared" si="5"/>
        <v>0.12095681109894871</v>
      </c>
      <c r="G17" s="169">
        <f t="shared" si="5"/>
        <v>0.12095681109894871</v>
      </c>
      <c r="H17" s="169">
        <f t="shared" si="5"/>
        <v>0.12095681109894871</v>
      </c>
      <c r="I17" s="169">
        <f t="shared" si="5"/>
        <v>0.12095681109894871</v>
      </c>
      <c r="J17" s="169">
        <f t="shared" si="5"/>
        <v>0.12095681109894871</v>
      </c>
      <c r="K17" s="169">
        <f t="shared" si="5"/>
        <v>0.12095681109894871</v>
      </c>
      <c r="L17" s="169">
        <f t="shared" si="5"/>
        <v>0.12095681109894871</v>
      </c>
      <c r="M17" s="169">
        <f t="shared" si="5"/>
        <v>0.12095681109894871</v>
      </c>
      <c r="R17" s="2" t="s">
        <v>506</v>
      </c>
      <c r="S17" s="35">
        <v>16.352193199999999</v>
      </c>
      <c r="T17" s="35">
        <v>23.775444400000001</v>
      </c>
    </row>
    <row r="18" spans="2:22" x14ac:dyDescent="0.35">
      <c r="R18" s="2" t="s">
        <v>507</v>
      </c>
      <c r="S18" s="35">
        <v>469.27632319999998</v>
      </c>
      <c r="T18" s="35">
        <v>304.32684519999998</v>
      </c>
    </row>
    <row r="19" spans="2:22" x14ac:dyDescent="0.35">
      <c r="B19" s="8" t="s">
        <v>484</v>
      </c>
      <c r="R19" s="8" t="s">
        <v>145</v>
      </c>
      <c r="S19" s="162">
        <v>753.58559909999997</v>
      </c>
      <c r="T19" s="162">
        <v>473.83251059999998</v>
      </c>
      <c r="U19" s="17"/>
      <c r="V19" s="17"/>
    </row>
    <row r="20" spans="2:22" x14ac:dyDescent="0.35">
      <c r="B20" s="37" t="s">
        <v>512</v>
      </c>
      <c r="C20" s="17">
        <f>'Balance Sheet'!F35+'Balance Sheet'!F29</f>
        <v>829.79309839999996</v>
      </c>
      <c r="D20" s="17">
        <f>C23</f>
        <v>857.37657860000002</v>
      </c>
      <c r="E20" s="17">
        <f>D23</f>
        <v>857.37657860000002</v>
      </c>
      <c r="F20" s="17">
        <f>E23</f>
        <v>857.37657860000002</v>
      </c>
      <c r="G20" s="17">
        <f t="shared" ref="G20:M20" si="6">F23</f>
        <v>857.37657860000002</v>
      </c>
      <c r="H20" s="17">
        <f t="shared" si="6"/>
        <v>857.37657860000002</v>
      </c>
      <c r="I20" s="17">
        <f t="shared" si="6"/>
        <v>857.37657860000002</v>
      </c>
      <c r="J20" s="17">
        <f t="shared" si="6"/>
        <v>857.37657860000002</v>
      </c>
      <c r="K20" s="17">
        <f t="shared" si="6"/>
        <v>857.37657860000002</v>
      </c>
      <c r="L20" s="17">
        <f t="shared" si="6"/>
        <v>857.37657860000002</v>
      </c>
      <c r="M20" s="17">
        <f t="shared" si="6"/>
        <v>857.37657860000002</v>
      </c>
      <c r="U20" s="17"/>
      <c r="V20" s="17"/>
    </row>
    <row r="21" spans="2:22" x14ac:dyDescent="0.35">
      <c r="B21" s="37" t="s">
        <v>494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R21" s="8" t="s">
        <v>400</v>
      </c>
      <c r="S21" s="164" t="s">
        <v>510</v>
      </c>
      <c r="T21" s="8" t="s">
        <v>511</v>
      </c>
      <c r="U21" s="17"/>
      <c r="V21" s="17"/>
    </row>
    <row r="22" spans="2:22" x14ac:dyDescent="0.35">
      <c r="B22" s="37" t="s">
        <v>495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R22" s="2" t="s">
        <v>502</v>
      </c>
      <c r="S22" s="35">
        <v>114.4322931</v>
      </c>
      <c r="T22" s="35">
        <v>130.02882389999999</v>
      </c>
      <c r="U22" s="17"/>
      <c r="V22" s="17"/>
    </row>
    <row r="23" spans="2:22" x14ac:dyDescent="0.35">
      <c r="B23" s="163" t="s">
        <v>513</v>
      </c>
      <c r="C23" s="155">
        <f>'Balance Sheet'!G35+'Balance Sheet'!G29</f>
        <v>857.37657860000002</v>
      </c>
      <c r="D23" s="155">
        <f>SUM(D20:D22)</f>
        <v>857.37657860000002</v>
      </c>
      <c r="E23" s="155">
        <f t="shared" ref="E23" si="7">SUM(E20:E22)</f>
        <v>857.37657860000002</v>
      </c>
      <c r="F23" s="155">
        <f t="shared" ref="F23" si="8">SUM(F20:F22)</f>
        <v>857.37657860000002</v>
      </c>
      <c r="G23" s="155">
        <f t="shared" ref="G23" si="9">SUM(G20:G22)</f>
        <v>857.37657860000002</v>
      </c>
      <c r="H23" s="155">
        <f t="shared" ref="H23" si="10">SUM(H20:H22)</f>
        <v>857.37657860000002</v>
      </c>
      <c r="I23" s="155">
        <f t="shared" ref="I23" si="11">SUM(I20:I22)</f>
        <v>857.37657860000002</v>
      </c>
      <c r="J23" s="155">
        <f t="shared" ref="J23" si="12">SUM(J20:J22)</f>
        <v>857.37657860000002</v>
      </c>
      <c r="K23" s="155">
        <f t="shared" ref="K23" si="13">SUM(K20:K22)</f>
        <v>857.37657860000002</v>
      </c>
      <c r="L23" s="155">
        <f t="shared" ref="L23" si="14">SUM(L20:L22)</f>
        <v>857.37657860000002</v>
      </c>
      <c r="M23" s="155">
        <f t="shared" ref="M23" si="15">SUM(M20:M22)</f>
        <v>857.37657860000002</v>
      </c>
      <c r="R23" s="2" t="s">
        <v>503</v>
      </c>
      <c r="S23" s="35">
        <v>63.8721794</v>
      </c>
      <c r="T23" s="35">
        <v>57.137753400000001</v>
      </c>
      <c r="U23" s="17"/>
      <c r="V23" s="17"/>
    </row>
    <row r="24" spans="2:22" x14ac:dyDescent="0.35">
      <c r="B24" s="37" t="s">
        <v>514</v>
      </c>
      <c r="C24" s="17">
        <f>S23</f>
        <v>63.8721794</v>
      </c>
      <c r="D24" s="17">
        <f>AVERAGE(D20,D23)*D25</f>
        <v>64.916423508834086</v>
      </c>
      <c r="E24" s="17">
        <f t="shared" ref="E24" si="16">AVERAGE(E20,E23)*E25</f>
        <v>64.916423508834086</v>
      </c>
      <c r="F24" s="17">
        <f t="shared" ref="F24" si="17">AVERAGE(F20,F23)*F25</f>
        <v>64.916423508834086</v>
      </c>
      <c r="G24" s="17">
        <f t="shared" ref="G24" si="18">AVERAGE(G20,G23)*G25</f>
        <v>64.916423508834086</v>
      </c>
      <c r="H24" s="17">
        <f t="shared" ref="H24" si="19">AVERAGE(H20,H23)*H25</f>
        <v>64.916423508834086</v>
      </c>
      <c r="I24" s="17">
        <f t="shared" ref="I24" si="20">AVERAGE(I20,I23)*I25</f>
        <v>64.916423508834086</v>
      </c>
      <c r="J24" s="17">
        <f t="shared" ref="J24" si="21">AVERAGE(J20,J23)*J25</f>
        <v>64.916423508834086</v>
      </c>
      <c r="K24" s="17">
        <f t="shared" ref="K24" si="22">AVERAGE(K20,K23)*K25</f>
        <v>64.916423508834086</v>
      </c>
      <c r="L24" s="17">
        <f t="shared" ref="L24" si="23">AVERAGE(L20,L23)*L25</f>
        <v>64.916423508834086</v>
      </c>
      <c r="M24" s="17">
        <f t="shared" ref="M24" si="24">AVERAGE(M20,M23)*M25</f>
        <v>64.916423508834086</v>
      </c>
      <c r="R24" s="2" t="s">
        <v>504</v>
      </c>
      <c r="S24" s="35">
        <v>122.2050656</v>
      </c>
      <c r="T24" s="35">
        <v>93.311605499999999</v>
      </c>
      <c r="U24" s="17"/>
      <c r="V24" s="17"/>
    </row>
    <row r="25" spans="2:22" x14ac:dyDescent="0.35">
      <c r="B25" s="168" t="s">
        <v>515</v>
      </c>
      <c r="C25" s="169">
        <f>C24/AVERAGE(C20,C23)</f>
        <v>7.571518178725542E-2</v>
      </c>
      <c r="D25" s="169">
        <f>C25</f>
        <v>7.571518178725542E-2</v>
      </c>
      <c r="E25" s="169">
        <f t="shared" ref="E25:M25" si="25">D25</f>
        <v>7.571518178725542E-2</v>
      </c>
      <c r="F25" s="169">
        <f t="shared" si="25"/>
        <v>7.571518178725542E-2</v>
      </c>
      <c r="G25" s="169">
        <f t="shared" si="25"/>
        <v>7.571518178725542E-2</v>
      </c>
      <c r="H25" s="169">
        <f t="shared" si="25"/>
        <v>7.571518178725542E-2</v>
      </c>
      <c r="I25" s="169">
        <f t="shared" si="25"/>
        <v>7.571518178725542E-2</v>
      </c>
      <c r="J25" s="169">
        <f t="shared" si="25"/>
        <v>7.571518178725542E-2</v>
      </c>
      <c r="K25" s="169">
        <f t="shared" si="25"/>
        <v>7.571518178725542E-2</v>
      </c>
      <c r="L25" s="169">
        <f t="shared" si="25"/>
        <v>7.571518178725542E-2</v>
      </c>
      <c r="M25" s="169">
        <f t="shared" si="25"/>
        <v>7.571518178725542E-2</v>
      </c>
      <c r="R25" s="2" t="s">
        <v>505</v>
      </c>
      <c r="S25" s="35">
        <v>2.0108375999999999</v>
      </c>
      <c r="T25" s="35">
        <v>1.9974144</v>
      </c>
      <c r="U25" s="17"/>
      <c r="V25" s="17"/>
    </row>
    <row r="26" spans="2:22" x14ac:dyDescent="0.35">
      <c r="R26" s="2" t="s">
        <v>506</v>
      </c>
      <c r="S26" s="35">
        <v>22.277175</v>
      </c>
      <c r="T26" s="35">
        <v>19.194006999999999</v>
      </c>
    </row>
    <row r="27" spans="2:22" x14ac:dyDescent="0.35">
      <c r="B27" s="8" t="s">
        <v>352</v>
      </c>
      <c r="R27" s="2" t="s">
        <v>509</v>
      </c>
      <c r="S27" s="35">
        <v>123.6063225</v>
      </c>
      <c r="T27" s="35">
        <v>157.45397940000001</v>
      </c>
    </row>
    <row r="28" spans="2:22" x14ac:dyDescent="0.35">
      <c r="B28" s="37" t="s">
        <v>516</v>
      </c>
      <c r="C28" s="17">
        <f>'Balance Sheet'!F36+'Balance Sheet'!F30</f>
        <v>22.8165528</v>
      </c>
      <c r="D28" s="17">
        <f>C31</f>
        <v>23.909377599999999</v>
      </c>
      <c r="E28" s="17">
        <f>D31</f>
        <v>23.909377599999999</v>
      </c>
      <c r="F28" s="17">
        <f>E31</f>
        <v>23.909377599999999</v>
      </c>
      <c r="G28" s="17">
        <f t="shared" ref="G28:M28" si="26">F31</f>
        <v>23.909377599999999</v>
      </c>
      <c r="H28" s="17">
        <f t="shared" si="26"/>
        <v>23.909377599999999</v>
      </c>
      <c r="I28" s="17">
        <f t="shared" si="26"/>
        <v>23.909377599999999</v>
      </c>
      <c r="J28" s="17">
        <f t="shared" si="26"/>
        <v>23.909377599999999</v>
      </c>
      <c r="K28" s="17">
        <f t="shared" si="26"/>
        <v>23.909377599999999</v>
      </c>
      <c r="L28" s="17">
        <f t="shared" si="26"/>
        <v>23.909377599999999</v>
      </c>
      <c r="M28" s="17">
        <f t="shared" si="26"/>
        <v>23.909377599999999</v>
      </c>
      <c r="R28" s="8" t="s">
        <v>145</v>
      </c>
      <c r="S28" s="162">
        <v>448.40387320000002</v>
      </c>
      <c r="T28" s="162">
        <v>459.12358360000002</v>
      </c>
      <c r="U28" s="17"/>
      <c r="V28" s="17"/>
    </row>
    <row r="29" spans="2:22" x14ac:dyDescent="0.35">
      <c r="B29" s="37" t="s">
        <v>494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U29" s="17"/>
      <c r="V29" s="17"/>
    </row>
    <row r="30" spans="2:22" x14ac:dyDescent="0.35">
      <c r="B30" s="37" t="s">
        <v>495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U30" s="17"/>
      <c r="V30" s="17"/>
    </row>
    <row r="31" spans="2:22" x14ac:dyDescent="0.35">
      <c r="B31" s="163" t="s">
        <v>517</v>
      </c>
      <c r="C31" s="155">
        <f>'Balance Sheet'!G36+'Balance Sheet'!G30</f>
        <v>23.909377599999999</v>
      </c>
      <c r="D31" s="155">
        <f>SUM(D28:D30)</f>
        <v>23.909377599999999</v>
      </c>
      <c r="E31" s="155">
        <f t="shared" ref="E31" si="27">SUM(E28:E30)</f>
        <v>23.909377599999999</v>
      </c>
      <c r="F31" s="155">
        <f t="shared" ref="F31" si="28">SUM(F28:F30)</f>
        <v>23.909377599999999</v>
      </c>
      <c r="G31" s="155">
        <f t="shared" ref="G31" si="29">SUM(G28:G30)</f>
        <v>23.909377599999999</v>
      </c>
      <c r="H31" s="155">
        <f t="shared" ref="H31" si="30">SUM(H28:H30)</f>
        <v>23.909377599999999</v>
      </c>
      <c r="I31" s="155">
        <f t="shared" ref="I31" si="31">SUM(I28:I30)</f>
        <v>23.909377599999999</v>
      </c>
      <c r="J31" s="155">
        <f t="shared" ref="J31" si="32">SUM(J28:J30)</f>
        <v>23.909377599999999</v>
      </c>
      <c r="K31" s="155">
        <f t="shared" ref="K31" si="33">SUM(K28:K30)</f>
        <v>23.909377599999999</v>
      </c>
      <c r="L31" s="155">
        <f t="shared" ref="L31" si="34">SUM(L28:L30)</f>
        <v>23.909377599999999</v>
      </c>
      <c r="M31" s="155">
        <f t="shared" ref="M31" si="35">SUM(M28:M30)</f>
        <v>23.909377599999999</v>
      </c>
      <c r="U31" s="17"/>
      <c r="V31" s="17"/>
    </row>
    <row r="32" spans="2:22" x14ac:dyDescent="0.35">
      <c r="B32" s="37" t="s">
        <v>518</v>
      </c>
      <c r="C32" s="17">
        <f>S25</f>
        <v>2.0108375999999999</v>
      </c>
      <c r="D32" s="17">
        <f>AVERAGE(D28,D31)*D33</f>
        <v>2.0578670155566452</v>
      </c>
      <c r="E32" s="17">
        <f t="shared" ref="E32" si="36">AVERAGE(E28,E31)*E33</f>
        <v>2.0578670155566452</v>
      </c>
      <c r="F32" s="17">
        <f t="shared" ref="F32" si="37">AVERAGE(F28,F31)*F33</f>
        <v>2.0578670155566452</v>
      </c>
      <c r="G32" s="17">
        <f t="shared" ref="G32" si="38">AVERAGE(G28,G31)*G33</f>
        <v>2.0578670155566452</v>
      </c>
      <c r="H32" s="17">
        <f t="shared" ref="H32" si="39">AVERAGE(H28,H31)*H33</f>
        <v>2.0578670155566452</v>
      </c>
      <c r="I32" s="17">
        <f t="shared" ref="I32" si="40">AVERAGE(I28,I31)*I33</f>
        <v>2.0578670155566452</v>
      </c>
      <c r="J32" s="17">
        <f t="shared" ref="J32" si="41">AVERAGE(J28,J31)*J33</f>
        <v>2.0578670155566452</v>
      </c>
      <c r="K32" s="17">
        <f t="shared" ref="K32" si="42">AVERAGE(K28,K31)*K33</f>
        <v>2.0578670155566452</v>
      </c>
      <c r="L32" s="17">
        <f t="shared" ref="L32" si="43">AVERAGE(L28,L31)*L33</f>
        <v>2.0578670155566452</v>
      </c>
      <c r="M32" s="17">
        <f t="shared" ref="M32" si="44">AVERAGE(M28,M31)*M33</f>
        <v>2.0578670155566452</v>
      </c>
      <c r="U32" s="17"/>
      <c r="V32" s="17"/>
    </row>
    <row r="33" spans="2:22" x14ac:dyDescent="0.35">
      <c r="B33" s="168" t="s">
        <v>519</v>
      </c>
      <c r="C33" s="169">
        <f>C32/AVERAGE(C28,C31)</f>
        <v>8.6069451492398752E-2</v>
      </c>
      <c r="D33" s="169">
        <f>C33</f>
        <v>8.6069451492398752E-2</v>
      </c>
      <c r="E33" s="169">
        <f t="shared" ref="E33:M33" si="45">D33</f>
        <v>8.6069451492398752E-2</v>
      </c>
      <c r="F33" s="169">
        <f t="shared" si="45"/>
        <v>8.6069451492398752E-2</v>
      </c>
      <c r="G33" s="169">
        <f t="shared" si="45"/>
        <v>8.6069451492398752E-2</v>
      </c>
      <c r="H33" s="169">
        <f t="shared" si="45"/>
        <v>8.6069451492398752E-2</v>
      </c>
      <c r="I33" s="169">
        <f t="shared" si="45"/>
        <v>8.6069451492398752E-2</v>
      </c>
      <c r="J33" s="169">
        <f t="shared" si="45"/>
        <v>8.6069451492398752E-2</v>
      </c>
      <c r="K33" s="169">
        <f t="shared" si="45"/>
        <v>8.6069451492398752E-2</v>
      </c>
      <c r="L33" s="169">
        <f t="shared" si="45"/>
        <v>8.6069451492398752E-2</v>
      </c>
      <c r="M33" s="169">
        <f t="shared" si="45"/>
        <v>8.6069451492398752E-2</v>
      </c>
      <c r="U33" s="17"/>
      <c r="V33" s="17"/>
    </row>
    <row r="34" spans="2:22" x14ac:dyDescent="0.35">
      <c r="U34" s="17"/>
      <c r="V34" s="17"/>
    </row>
    <row r="35" spans="2:22" x14ac:dyDescent="0.35">
      <c r="B35" s="8" t="s">
        <v>525</v>
      </c>
      <c r="C35" s="8"/>
      <c r="D35" s="38">
        <f t="shared" ref="D35:M35" ca="1" si="46">D13+D14+D21+D22+D29+D30</f>
        <v>0</v>
      </c>
      <c r="E35" s="38">
        <f t="shared" ca="1" si="46"/>
        <v>0</v>
      </c>
      <c r="F35" s="38">
        <f t="shared" ca="1" si="46"/>
        <v>0</v>
      </c>
      <c r="G35" s="38">
        <f t="shared" ca="1" si="46"/>
        <v>0</v>
      </c>
      <c r="H35" s="38">
        <f t="shared" ca="1" si="46"/>
        <v>0</v>
      </c>
      <c r="I35" s="38">
        <f t="shared" ca="1" si="46"/>
        <v>0</v>
      </c>
      <c r="J35" s="38">
        <f t="shared" ca="1" si="46"/>
        <v>0</v>
      </c>
      <c r="K35" s="38">
        <f t="shared" ca="1" si="46"/>
        <v>0</v>
      </c>
      <c r="L35" s="38">
        <f t="shared" ca="1" si="46"/>
        <v>0</v>
      </c>
      <c r="M35" s="38">
        <f t="shared" ca="1" si="46"/>
        <v>0</v>
      </c>
    </row>
    <row r="36" spans="2:22" x14ac:dyDescent="0.35">
      <c r="B36" s="2" t="s">
        <v>531</v>
      </c>
      <c r="C36" s="17">
        <f>S26+S27</f>
        <v>145.8834975</v>
      </c>
      <c r="D36" s="17">
        <f>'Income Statement'!H6*'Debt Schedule'!D37</f>
        <v>154.6914047648591</v>
      </c>
      <c r="E36" s="17">
        <f>'Income Statement'!I6*'Debt Schedule'!E37</f>
        <v>187.51046162836695</v>
      </c>
      <c r="F36" s="17">
        <f>'Income Statement'!J6*'Debt Schedule'!F37</f>
        <v>201.3611801363196</v>
      </c>
      <c r="G36" s="17">
        <f>'Income Statement'!K6*'Debt Schedule'!G37</f>
        <v>215.08797413833872</v>
      </c>
      <c r="H36" s="17">
        <f>'Income Statement'!L6*'Debt Schedule'!H37</f>
        <v>228.03842807629434</v>
      </c>
      <c r="I36" s="17">
        <f>'Income Statement'!M6*'Debt Schedule'!I37</f>
        <v>239.06989678460366</v>
      </c>
      <c r="J36" s="17">
        <f>'Income Statement'!N6*'Debt Schedule'!J37</f>
        <v>250.05137060919682</v>
      </c>
      <c r="K36" s="17">
        <f>'Income Statement'!O6*'Debt Schedule'!K37</f>
        <v>261.03870129210776</v>
      </c>
      <c r="L36" s="17">
        <f>'Income Statement'!P6*'Debt Schedule'!L37</f>
        <v>271.24545787379941</v>
      </c>
      <c r="M36" s="17">
        <f>'Income Statement'!Q6*'Debt Schedule'!M37</f>
        <v>281.29730942172176</v>
      </c>
    </row>
    <row r="37" spans="2:22" x14ac:dyDescent="0.35">
      <c r="B37" s="168" t="s">
        <v>532</v>
      </c>
      <c r="C37" s="169">
        <f>C36/'Income Statement'!G6</f>
        <v>2.0598474714980955E-2</v>
      </c>
      <c r="D37" s="41">
        <f>C37</f>
        <v>2.0598474714980955E-2</v>
      </c>
      <c r="E37" s="41">
        <f t="shared" ref="E37:M37" si="47">D37</f>
        <v>2.0598474714980955E-2</v>
      </c>
      <c r="F37" s="41">
        <f t="shared" si="47"/>
        <v>2.0598474714980955E-2</v>
      </c>
      <c r="G37" s="41">
        <f t="shared" si="47"/>
        <v>2.0598474714980955E-2</v>
      </c>
      <c r="H37" s="41">
        <f t="shared" si="47"/>
        <v>2.0598474714980955E-2</v>
      </c>
      <c r="I37" s="41">
        <f t="shared" si="47"/>
        <v>2.0598474714980955E-2</v>
      </c>
      <c r="J37" s="41">
        <f t="shared" si="47"/>
        <v>2.0598474714980955E-2</v>
      </c>
      <c r="K37" s="41">
        <f t="shared" si="47"/>
        <v>2.0598474714980955E-2</v>
      </c>
      <c r="L37" s="41">
        <f t="shared" si="47"/>
        <v>2.0598474714980955E-2</v>
      </c>
      <c r="M37" s="41">
        <f t="shared" si="47"/>
        <v>2.0598474714980955E-2</v>
      </c>
    </row>
    <row r="38" spans="2:22" x14ac:dyDescent="0.35">
      <c r="B38" s="31" t="s">
        <v>526</v>
      </c>
      <c r="C38" s="31"/>
      <c r="D38" s="155">
        <f ca="1">D16+D24+D32+D36</f>
        <v>437.98457752573421</v>
      </c>
      <c r="E38" s="155">
        <f t="shared" ref="E38:M38" ca="1" si="48">E16+E24+E32+E36</f>
        <v>470.80363438924206</v>
      </c>
      <c r="F38" s="155">
        <f t="shared" ca="1" si="48"/>
        <v>484.65435289719471</v>
      </c>
      <c r="G38" s="155">
        <f t="shared" ca="1" si="48"/>
        <v>498.38114689921383</v>
      </c>
      <c r="H38" s="155">
        <f t="shared" ca="1" si="48"/>
        <v>511.33160083716945</v>
      </c>
      <c r="I38" s="155">
        <f t="shared" ca="1" si="48"/>
        <v>522.36306954547877</v>
      </c>
      <c r="J38" s="155">
        <f t="shared" ca="1" si="48"/>
        <v>533.34454337007196</v>
      </c>
      <c r="K38" s="155">
        <f t="shared" ca="1" si="48"/>
        <v>544.33187405298281</v>
      </c>
      <c r="L38" s="155">
        <f t="shared" ca="1" si="48"/>
        <v>554.53863063467452</v>
      </c>
      <c r="M38" s="155">
        <f t="shared" ca="1" si="48"/>
        <v>564.59048218259682</v>
      </c>
    </row>
    <row r="39" spans="2:22" x14ac:dyDescent="0.35">
      <c r="B39" s="31" t="s">
        <v>527</v>
      </c>
      <c r="C39" s="160">
        <v>506.54569800000002</v>
      </c>
      <c r="D39" s="155">
        <f t="shared" ref="D39:M39" ca="1" si="49">D5+D6+D35</f>
        <v>1039.470385732609</v>
      </c>
      <c r="E39" s="155">
        <f t="shared" ca="1" si="49"/>
        <v>341.02841730395471</v>
      </c>
      <c r="F39" s="155">
        <f t="shared" ca="1" si="49"/>
        <v>535.22304869417246</v>
      </c>
      <c r="G39" s="155">
        <f t="shared" ca="1" si="49"/>
        <v>676.06352418767472</v>
      </c>
      <c r="H39" s="155">
        <f t="shared" ca="1" si="49"/>
        <v>907.74635480760173</v>
      </c>
      <c r="I39" s="155">
        <f t="shared" ca="1" si="49"/>
        <v>1420.3643642651173</v>
      </c>
      <c r="J39" s="155">
        <f t="shared" ca="1" si="49"/>
        <v>1702.0611159859957</v>
      </c>
      <c r="K39" s="155">
        <f t="shared" ca="1" si="49"/>
        <v>2259.6904905837455</v>
      </c>
      <c r="L39" s="155">
        <f t="shared" ca="1" si="49"/>
        <v>2784.7621103689671</v>
      </c>
      <c r="M39" s="155">
        <f t="shared" ca="1" si="49"/>
        <v>3368.0056753270128</v>
      </c>
    </row>
    <row r="40" spans="2:22" x14ac:dyDescent="0.35">
      <c r="B40" s="2" t="s">
        <v>528</v>
      </c>
      <c r="C40" s="17">
        <f>'Income Statement'!G27</f>
        <v>29.0334678</v>
      </c>
      <c r="D40" s="17">
        <f t="shared" ref="D40:M40" ca="1" si="50">AVERAGE(D5+D39)*D41</f>
        <v>30.920321674652179</v>
      </c>
      <c r="E40" s="17">
        <f t="shared" ca="1" si="50"/>
        <v>27.609976060731274</v>
      </c>
      <c r="F40" s="17">
        <f t="shared" ca="1" si="50"/>
        <v>17.525029319962545</v>
      </c>
      <c r="G40" s="17">
        <f t="shared" ca="1" si="50"/>
        <v>24.225731457636943</v>
      </c>
      <c r="H40" s="17">
        <f t="shared" ca="1" si="50"/>
        <v>31.67619757990553</v>
      </c>
      <c r="I40" s="17">
        <f t="shared" ca="1" si="50"/>
        <v>46.562214381454382</v>
      </c>
      <c r="J40" s="17">
        <f t="shared" ca="1" si="50"/>
        <v>62.448509605022267</v>
      </c>
      <c r="K40" s="17">
        <f t="shared" ca="1" si="50"/>
        <v>79.235032131394817</v>
      </c>
      <c r="L40" s="17">
        <f t="shared" ca="1" si="50"/>
        <v>100.88905201905425</v>
      </c>
      <c r="M40" s="17">
        <f t="shared" ca="1" si="50"/>
        <v>123.0553557139196</v>
      </c>
    </row>
    <row r="41" spans="2:22" x14ac:dyDescent="0.35">
      <c r="B41" s="2" t="s">
        <v>499</v>
      </c>
      <c r="C41" s="169">
        <f>C40/AVERAGE(C5,C39)</f>
        <v>5.0002599678228905E-2</v>
      </c>
      <c r="D41" s="169">
        <v>0.02</v>
      </c>
      <c r="E41" s="169">
        <f t="shared" ref="E41:M41" si="51">D41</f>
        <v>0.02</v>
      </c>
      <c r="F41" s="169">
        <f t="shared" si="51"/>
        <v>0.02</v>
      </c>
      <c r="G41" s="169">
        <f t="shared" si="51"/>
        <v>0.02</v>
      </c>
      <c r="H41" s="169">
        <f t="shared" si="51"/>
        <v>0.02</v>
      </c>
      <c r="I41" s="169">
        <f t="shared" si="51"/>
        <v>0.02</v>
      </c>
      <c r="J41" s="169">
        <f t="shared" si="51"/>
        <v>0.02</v>
      </c>
      <c r="K41" s="169">
        <f t="shared" si="51"/>
        <v>0.02</v>
      </c>
      <c r="L41" s="169">
        <f t="shared" si="51"/>
        <v>0.02</v>
      </c>
      <c r="M41" s="169">
        <f t="shared" si="51"/>
        <v>0.02</v>
      </c>
    </row>
    <row r="43" spans="2:22" x14ac:dyDescent="0.35">
      <c r="B43" s="8" t="s">
        <v>529</v>
      </c>
      <c r="C43" s="170" t="str">
        <f>IF(EXACT(C39, 'Balance Sheet'!G7), "Y", "N")</f>
        <v>Y</v>
      </c>
      <c r="D43" s="170" t="str">
        <f ca="1">IF(EXACT(D39, 'Balance Sheet'!H7), "Y", "N")</f>
        <v>Y</v>
      </c>
      <c r="E43" s="170" t="str">
        <f ca="1">IF(EXACT(E39, 'Balance Sheet'!I7), "Y", "N")</f>
        <v>Y</v>
      </c>
      <c r="F43" s="170" t="str">
        <f ca="1">IF(EXACT(F39, 'Balance Sheet'!J7), "Y", "N")</f>
        <v>Y</v>
      </c>
      <c r="G43" s="170" t="str">
        <f ca="1">IF(EXACT(G39, 'Balance Sheet'!K7), "Y", "N")</f>
        <v>Y</v>
      </c>
      <c r="H43" s="170" t="str">
        <f ca="1">IF(EXACT(H39, 'Balance Sheet'!L7), "Y", "N")</f>
        <v>Y</v>
      </c>
      <c r="I43" s="170" t="str">
        <f ca="1">IF(EXACT(I39, 'Balance Sheet'!M7), "Y", "N")</f>
        <v>Y</v>
      </c>
      <c r="J43" s="170" t="str">
        <f ca="1">IF(EXACT(J39, 'Balance Sheet'!N7), "Y", "N")</f>
        <v>Y</v>
      </c>
      <c r="K43" s="170" t="str">
        <f ca="1">IF(EXACT(K39, 'Balance Sheet'!O7), "Y", "N")</f>
        <v>Y</v>
      </c>
      <c r="L43" s="170" t="str">
        <f ca="1">IF(EXACT(L39, 'Balance Sheet'!P7), "Y", "N")</f>
        <v>Y</v>
      </c>
      <c r="M43" s="170" t="str">
        <f ca="1">IF(EXACT(M39, 'Balance Sheet'!Q7), "Y", "N")</f>
        <v>Y</v>
      </c>
    </row>
  </sheetData>
  <dataValidations count="1">
    <dataValidation type="list" allowBlank="1" showInputMessage="1" showErrorMessage="1" sqref="E10" xr:uid="{2476A5E7-B255-4502-977B-E57063A1CB71}">
      <formula1>$P$5:$P$6</formula1>
    </dataValidation>
  </dataValidation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B62A8-25BC-4D7F-AB32-22E2D13AF13E}">
  <dimension ref="B2:Q13"/>
  <sheetViews>
    <sheetView showGridLines="0" zoomScale="55" zoomScaleNormal="55" workbookViewId="0">
      <selection activeCell="AA5" sqref="AA5"/>
    </sheetView>
  </sheetViews>
  <sheetFormatPr defaultRowHeight="14.5" x14ac:dyDescent="0.35"/>
  <cols>
    <col min="2" max="2" width="32.1796875" bestFit="1" customWidth="1"/>
  </cols>
  <sheetData>
    <row r="2" spans="2:17" x14ac:dyDescent="0.35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2:17" x14ac:dyDescent="0.35">
      <c r="B3" s="220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2:17" x14ac:dyDescent="0.35">
      <c r="B4" s="220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2:17" x14ac:dyDescent="0.35">
      <c r="B5" s="220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spans="2:17" x14ac:dyDescent="0.35">
      <c r="B6" s="220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2:17" x14ac:dyDescent="0.35">
      <c r="B7" s="220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spans="2:17" x14ac:dyDescent="0.35">
      <c r="B8" s="220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2:17" x14ac:dyDescent="0.35">
      <c r="B9" s="220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</row>
    <row r="10" spans="2:17" x14ac:dyDescent="0.35">
      <c r="B10" s="220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spans="2:17" x14ac:dyDescent="0.35">
      <c r="B11" s="220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 spans="2:17" x14ac:dyDescent="0.35">
      <c r="B12" s="220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 spans="2:17" x14ac:dyDescent="0.35"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Instructions</vt:lpstr>
      <vt:lpstr>Assumptions</vt:lpstr>
      <vt:lpstr>Data</vt:lpstr>
      <vt:lpstr>Historical FS</vt:lpstr>
      <vt:lpstr>Revenue Forecast</vt:lpstr>
      <vt:lpstr>Income Statement</vt:lpstr>
      <vt:lpstr>Balance Sheet</vt:lpstr>
      <vt:lpstr>Cash Flow Statement</vt:lpstr>
      <vt:lpstr>Ratio Analysis</vt:lpstr>
      <vt:lpstr>DCF Valuation</vt:lpstr>
      <vt:lpstr>WACC Calculation</vt:lpstr>
      <vt:lpstr>Depreciation Schedule</vt:lpstr>
      <vt:lpstr>Working Capital Schedule</vt:lpstr>
      <vt:lpstr>Debt Schedule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Ifta Hider Rahman</dc:creator>
  <cp:lastModifiedBy>Ifta Hider Rahman</cp:lastModifiedBy>
  <cp:lastPrinted>2025-10-06T11:07:24Z</cp:lastPrinted>
  <dcterms:created xsi:type="dcterms:W3CDTF">2025-09-25T06:00:39Z</dcterms:created>
  <dcterms:modified xsi:type="dcterms:W3CDTF">2025-12-04T07:51:07Z</dcterms:modified>
</cp:coreProperties>
</file>